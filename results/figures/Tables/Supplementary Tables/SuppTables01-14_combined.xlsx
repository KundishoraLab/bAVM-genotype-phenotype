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C" sheetId="1" state="visible" r:id="rId1"/>
    <sheet name="ST01 Mutation rate by study" sheetId="2" state="visible" r:id="rId2"/>
    <sheet name="ST02 (A) Variant-positive rate" sheetId="3" state="visible" r:id="rId3"/>
    <sheet name="ST02 (B) Rupture prevalence" sheetId="4" state="visible" r:id="rId4"/>
    <sheet name="ST02 (C) Age at presentation" sheetId="5" state="visible" r:id="rId5"/>
    <sheet name="ST03 (A) Variant frequency" sheetId="6" state="visible" r:id="rId6"/>
    <sheet name="ST03 (B) VAF summary" sheetId="7" state="visible" r:id="rId7"/>
    <sheet name="ST04 (A) Rupture Cox (angio-adj" sheetId="8" state="visible" r:id="rId8"/>
    <sheet name="ST04 (B) Pheno x Geno x AgeGrou" sheetId="9" state="visible" r:id="rId9"/>
    <sheet name="ST04 (C) Age x Geno x Phenotype" sheetId="10" state="visible" r:id="rId10"/>
    <sheet name="ST05 VAF × age-at-rupture slope" sheetId="11" state="visible" r:id="rId11"/>
    <sheet name="ST06 (A) Pooled variant-positiv" sheetId="12" state="visible" r:id="rId12"/>
    <sheet name="ST06 (B) KRAS G12D" sheetId="13" state="visible" r:id="rId13"/>
    <sheet name="ST06 (C) KRAS G12V" sheetId="14" state="visible" r:id="rId14"/>
    <sheet name="ST06 (D) Other KRAS + BRAF" sheetId="15" state="visible" r:id="rId15"/>
    <sheet name="ST06 (E) Age-adjusted (pooled)" sheetId="16" state="visible" r:id="rId16"/>
    <sheet name="ST07 (A) Outlier sensitivity" sheetId="17" state="visible" r:id="rId17"/>
    <sheet name="ST07 (B) Dose-response model" sheetId="18" state="visible" r:id="rId18"/>
    <sheet name="ST07 (C) LRT sensitivity" sheetId="19" state="visible" r:id="rId19"/>
    <sheet name="ST07 (D) Slope - LOSO" sheetId="20" state="visible" r:id="rId20"/>
    <sheet name="ST07 (E) Slope - VAF trim" sheetId="21" state="visible" r:id="rId21"/>
    <sheet name="ST07 (F) Slope - Cohort restric" sheetId="22" state="visible" r:id="rId22"/>
    <sheet name="ST08 (A) Variant-pos vs Neg" sheetId="23" state="visible" r:id="rId23"/>
    <sheet name="ST08 (B) KRAS-mutant vs Neg" sheetId="24" state="visible" r:id="rId24"/>
    <sheet name="ST08 (C) KRAS G12D vs Neg" sheetId="25" state="visible" r:id="rId25"/>
    <sheet name="ST08 (D) KRAS G12V vs Neg" sheetId="26" state="visible" r:id="rId26"/>
    <sheet name="ST08 (E) KRAS G12D vs G12V" sheetId="27" state="visible" r:id="rId27"/>
    <sheet name="ST09 Location × genotype intera" sheetId="28" state="visible" r:id="rId28"/>
    <sheet name="ST10 Coarse anatomical &amp; demogr" sheetId="29" state="visible" r:id="rId29"/>
    <sheet name="ST11 (A) Power audit" sheetId="30" state="visible" r:id="rId30"/>
    <sheet name="ST11 (B) MDE (binary-null famil" sheetId="31" state="visible" r:id="rId31"/>
    <sheet name="ST12 (A) KRAS-Parietal (unadj)" sheetId="32" state="visible" r:id="rId32"/>
    <sheet name="ST12 (B) KRAS-Parietal (adj)" sheetId="33" state="visible" r:id="rId33"/>
    <sheet name="ST12 (C) G12D-Parietal (adj)" sheetId="34" state="visible" r:id="rId34"/>
    <sheet name="ST12 (D) G12V-Parietal (adj)" sheetId="35" state="visible" r:id="rId35"/>
    <sheet name="ST13 High-risk feature OR" sheetId="36" state="visible" r:id="rId36"/>
    <sheet name="ST14 (A) Anchor model (Cox)" sheetId="37" state="visible" r:id="rId37"/>
    <sheet name="ST14 (B) Bootstrap validation" sheetId="38" state="visible" r:id="rId38"/>
  </sheets>
</workbook>
</file>

<file path=xl/sharedStrings.xml><?xml version="1.0" encoding="utf-8"?>
<sst xmlns="http://schemas.openxmlformats.org/spreadsheetml/2006/main" count="1146" uniqueCount="1146">
  <si>
    <t xml:space="preserve">Study</t>
  </si>
  <si>
    <t xml:space="preserve">N</t>
  </si>
  <si>
    <t xml:space="preserve">N (mutant)</t>
  </si>
  <si>
    <t xml:space="preserve">Mutation rate (%)</t>
  </si>
  <si>
    <t xml:space="preserve">BCH</t>
  </si>
  <si>
    <t xml:space="preserve">110</t>
  </si>
  <si>
    <t xml:space="preserve">95</t>
  </si>
  <si>
    <t xml:space="preserve">86.3636363636364</t>
  </si>
  <si>
    <t xml:space="preserve">UAB</t>
  </si>
  <si>
    <t xml:space="preserve">72</t>
  </si>
  <si>
    <t xml:space="preserve">42</t>
  </si>
  <si>
    <t xml:space="preserve">58.3333333333333</t>
  </si>
  <si>
    <t xml:space="preserve">CHOP</t>
  </si>
  <si>
    <t xml:space="preserve">107</t>
  </si>
  <si>
    <t xml:space="preserve">79</t>
  </si>
  <si>
    <t xml:space="preserve">73.8317757009346</t>
  </si>
  <si>
    <t xml:space="preserve">Nikolaev</t>
  </si>
  <si>
    <t xml:space="preserve">44</t>
  </si>
  <si>
    <t xml:space="preserve">61.1111111111111</t>
  </si>
  <si>
    <t xml:space="preserve">Priemer</t>
  </si>
  <si>
    <t xml:space="preserve">21</t>
  </si>
  <si>
    <t xml:space="preserve">6</t>
  </si>
  <si>
    <t xml:space="preserve">28.5714285714286</t>
  </si>
  <si>
    <t xml:space="preserve">Hong</t>
  </si>
  <si>
    <t xml:space="preserve">13</t>
  </si>
  <si>
    <t xml:space="preserve">61.9047619047619</t>
  </si>
  <si>
    <t xml:space="preserve">Goss</t>
  </si>
  <si>
    <t xml:space="preserve">16</t>
  </si>
  <si>
    <t xml:space="preserve">10</t>
  </si>
  <si>
    <t xml:space="preserve">62.5</t>
  </si>
  <si>
    <t xml:space="preserve">Gao</t>
  </si>
  <si>
    <t xml:space="preserve">56</t>
  </si>
  <si>
    <t xml:space="preserve">31</t>
  </si>
  <si>
    <t xml:space="preserve">55.3571428571429</t>
  </si>
  <si>
    <t xml:space="preserve">Study or summary</t>
  </si>
  <si>
    <t xml:space="preserve">Events (k)</t>
  </si>
  <si>
    <t xml:space="preserve">Estimate (95% CI)</t>
  </si>
  <si>
    <t xml:space="preserve">Q (df)</t>
  </si>
  <si>
    <t xml:space="preserve">P (Q)</t>
  </si>
  <si>
    <t xml:space="preserve">I² (%)</t>
  </si>
  <si>
    <t xml:space="preserve">28.6% (11.3–52.2)</t>
  </si>
  <si>
    <t xml:space="preserve">—</t>
  </si>
  <si>
    <t xml:space="preserve">55.4% (41.5–68.7)</t>
  </si>
  <si>
    <t xml:space="preserve">58.3% (46.1–69.8)</t>
  </si>
  <si>
    <t xml:space="preserve">61.1% (48.9–72.4)</t>
  </si>
  <si>
    <t xml:space="preserve">61.9% (38.4–81.9)</t>
  </si>
  <si>
    <t xml:space="preserve">62.5% (35.4–84.8)</t>
  </si>
  <si>
    <t xml:space="preserve">73.8% (64.4–81.9)</t>
  </si>
  <si>
    <t xml:space="preserve">86.4% (78.5–92.2)</t>
  </si>
  <si>
    <t xml:space="preserve">Pooled (REML)</t>
  </si>
  <si>
    <t xml:space="preserve">475</t>
  </si>
  <si>
    <t xml:space="preserve">320</t>
  </si>
  <si>
    <t xml:space="preserve">63.2% (50.6–74.3)</t>
  </si>
  <si>
    <t xml:space="preserve">37.4 (7)</t>
  </si>
  <si>
    <t xml:space="preserve">4.0e-06</t>
  </si>
  <si>
    <t xml:space="preserve">83.6</t>
  </si>
  <si>
    <t xml:space="preserve">47.6% (25.7–70.2)</t>
  </si>
  <si>
    <t xml:space="preserve">62</t>
  </si>
  <si>
    <t xml:space="preserve">57.9% (48.0–67.4)</t>
  </si>
  <si>
    <t xml:space="preserve">45</t>
  </si>
  <si>
    <t xml:space="preserve">62.5% (50.3–73.6)</t>
  </si>
  <si>
    <t xml:space="preserve">35</t>
  </si>
  <si>
    <t xml:space="preserve">62.5% (48.5–75.1)</t>
  </si>
  <si>
    <t xml:space="preserve">14</t>
  </si>
  <si>
    <t xml:space="preserve">66.7% (43.0–85.4)</t>
  </si>
  <si>
    <t xml:space="preserve">101</t>
  </si>
  <si>
    <t xml:space="preserve">69</t>
  </si>
  <si>
    <t xml:space="preserve">68.3% (58.3–77.2)</t>
  </si>
  <si>
    <t xml:space="preserve">54</t>
  </si>
  <si>
    <t xml:space="preserve">78.3% (66.7–87.3)</t>
  </si>
  <si>
    <t xml:space="preserve">447</t>
  </si>
  <si>
    <t xml:space="preserve">289</t>
  </si>
  <si>
    <t xml:space="preserve">64.4% (57.9–70.4)</t>
  </si>
  <si>
    <t xml:space="preserve">10.9 (6)</t>
  </si>
  <si>
    <t xml:space="preserve">0.092</t>
  </si>
  <si>
    <t xml:space="preserve">44.0</t>
  </si>
  <si>
    <t xml:space="preserve">Mean (95% CI)</t>
  </si>
  <si>
    <t xml:space="preserve">103</t>
  </si>
  <si>
    <t xml:space="preserve">12.2 y (11.4–13.0)</t>
  </si>
  <si>
    <t xml:space="preserve">12.3 y (11.5–13.1)</t>
  </si>
  <si>
    <t xml:space="preserve">18.1 y (13.9–22.3)</t>
  </si>
  <si>
    <t xml:space="preserve">29.5 y (22.7–36.3)</t>
  </si>
  <si>
    <t xml:space="preserve">32.0 y (25.1–38.8)</t>
  </si>
  <si>
    <t xml:space="preserve">33.8 y (28.8–38.8)</t>
  </si>
  <si>
    <t xml:space="preserve">37.1 y (32.4–41.7)</t>
  </si>
  <si>
    <t xml:space="preserve">38.5 y (34.9–42.2)</t>
  </si>
  <si>
    <t xml:space="preserve">465</t>
  </si>
  <si>
    <t xml:space="preserve">26.5 y (18.8–34.2)</t>
  </si>
  <si>
    <t xml:space="preserve">414.5 (7)</t>
  </si>
  <si>
    <t xml:space="preserve">1.8e-85</t>
  </si>
  <si>
    <t xml:space="preserve">99.2</t>
  </si>
  <si>
    <t xml:space="preserve">Variant</t>
  </si>
  <si>
    <t xml:space="preserve">N (cohort)</t>
  </si>
  <si>
    <t xml:space="preserve">% of cohort</t>
  </si>
  <si>
    <t xml:space="preserve">KRAS G12D</t>
  </si>
  <si>
    <t xml:space="preserve">235</t>
  </si>
  <si>
    <t xml:space="preserve">49.5</t>
  </si>
  <si>
    <t xml:space="preserve">Panel-negative</t>
  </si>
  <si>
    <t xml:space="preserve">155</t>
  </si>
  <si>
    <t xml:space="preserve">32.6</t>
  </si>
  <si>
    <t xml:space="preserve">KRAS G12V</t>
  </si>
  <si>
    <t xml:space="preserve">61</t>
  </si>
  <si>
    <t xml:space="preserve">12.8</t>
  </si>
  <si>
    <t xml:space="preserve">KRAS G12C</t>
  </si>
  <si>
    <t xml:space="preserve">3.4</t>
  </si>
  <si>
    <t xml:space="preserve">BRAF V600E</t>
  </si>
  <si>
    <t xml:space="preserve">4</t>
  </si>
  <si>
    <t xml:space="preserve">0.8</t>
  </si>
  <si>
    <t xml:space="preserve">BRAF Q636X</t>
  </si>
  <si>
    <t xml:space="preserve">1</t>
  </si>
  <si>
    <t xml:space="preserve">0.2</t>
  </si>
  <si>
    <t xml:space="preserve">KRAS dup</t>
  </si>
  <si>
    <t xml:space="preserve">KRAS Q61H</t>
  </si>
  <si>
    <t xml:space="preserve">KRAS G12A</t>
  </si>
  <si>
    <t xml:space="preserve">N (VAF measured)</t>
  </si>
  <si>
    <t xml:space="preserve">Median VAF (%)</t>
  </si>
  <si>
    <t xml:space="preserve">IQR (Q25–Q75) (%)</t>
  </si>
  <si>
    <t xml:space="preserve">1.79</t>
  </si>
  <si>
    <t xml:space="preserve">0.83–3.39</t>
  </si>
  <si>
    <t xml:space="preserve">2.65</t>
  </si>
  <si>
    <t xml:space="preserve">1.42–3.24</t>
  </si>
  <si>
    <t xml:space="preserve">15</t>
  </si>
  <si>
    <t xml:space="preserve">2.21</t>
  </si>
  <si>
    <t xml:space="preserve">0.98–4.61</t>
  </si>
  <si>
    <t xml:space="preserve">2.59</t>
  </si>
  <si>
    <t xml:space="preserve">2.04–3.52</t>
  </si>
  <si>
    <t xml:space="preserve">0.30</t>
  </si>
  <si>
    <t xml:space="preserve">n&lt;3</t>
  </si>
  <si>
    <t xml:space="preserve">7.09</t>
  </si>
  <si>
    <t xml:space="preserve">2.41</t>
  </si>
  <si>
    <t xml:space="preserve">6.39</t>
  </si>
  <si>
    <t xml:space="preserve">Term</t>
  </si>
  <si>
    <t xml:space="preserve">HR</t>
  </si>
  <si>
    <t xml:space="preserve">95% CI</t>
  </si>
  <si>
    <t xml:space="preserve">P</t>
  </si>
  <si>
    <t xml:space="preserve">VIF</t>
  </si>
  <si>
    <t xml:space="preserve">KRAS G12D (vs. panel-negative)</t>
  </si>
  <si>
    <t xml:space="preserve">258</t>
  </si>
  <si>
    <t xml:space="preserve">1.68</t>
  </si>
  <si>
    <t xml:space="preserve">(1.17, 2.42)</t>
  </si>
  <si>
    <t xml:space="preserve">0.005</t>
  </si>
  <si>
    <t xml:space="preserve">1.02</t>
  </si>
  <si>
    <t xml:space="preserve">KRAS G12V (vs. panel-negative)</t>
  </si>
  <si>
    <t xml:space="preserve">1.32</t>
  </si>
  <si>
    <t xml:space="preserve">(0.74, 2.37)</t>
  </si>
  <si>
    <t xml:space="preserve">0.350</t>
  </si>
  <si>
    <t xml:space="preserve">Spetzler–Martin nidus size</t>
  </si>
  <si>
    <t xml:space="preserve">0.91</t>
  </si>
  <si>
    <t xml:space="preserve">(0.60, 1.38)</t>
  </si>
  <si>
    <t xml:space="preserve">0.670</t>
  </si>
  <si>
    <t xml:space="preserve">Deep venous drainage</t>
  </si>
  <si>
    <t xml:space="preserve">1.73</t>
  </si>
  <si>
    <t xml:space="preserve">(1.23, 2.42)</t>
  </si>
  <si>
    <t xml:space="preserve">0.002</t>
  </si>
  <si>
    <t xml:space="preserve">1.03</t>
  </si>
  <si>
    <t xml:space="preserve">High-risk feature count</t>
  </si>
  <si>
    <t xml:space="preserve">1.00</t>
  </si>
  <si>
    <t xml:space="preserve">(0.73, 1.37)</t>
  </si>
  <si>
    <t xml:space="preserve">0.990</t>
  </si>
  <si>
    <t xml:space="preserve">Phenotype</t>
  </si>
  <si>
    <t xml:space="preserve">β</t>
  </si>
  <si>
    <t xml:space="preserve">FDR P</t>
  </si>
  <si>
    <t xml:space="preserve">Spetzler–Martin size</t>
  </si>
  <si>
    <t xml:space="preserve">448</t>
  </si>
  <si>
    <t xml:space="preserve">0.023</t>
  </si>
  <si>
    <t xml:space="preserve">(-0.194, 0.241)</t>
  </si>
  <si>
    <t xml:space="preserve">0.834</t>
  </si>
  <si>
    <t xml:space="preserve">411</t>
  </si>
  <si>
    <t xml:space="preserve">-0.145</t>
  </si>
  <si>
    <t xml:space="preserve">(-1.032, 0.743)</t>
  </si>
  <si>
    <t xml:space="preserve">0.750</t>
  </si>
  <si>
    <t xml:space="preserve">Rupture status (ever)</t>
  </si>
  <si>
    <t xml:space="preserve">-0.174</t>
  </si>
  <si>
    <t xml:space="preserve">(-1.038, 0.691)</t>
  </si>
  <si>
    <t xml:space="preserve">0.694</t>
  </si>
  <si>
    <t xml:space="preserve">341</t>
  </si>
  <si>
    <t xml:space="preserve">0.232</t>
  </si>
  <si>
    <t xml:space="preserve">(-0.007, 0.472)</t>
  </si>
  <si>
    <t xml:space="preserve">0.058</t>
  </si>
  <si>
    <t xml:space="preserve">0.233</t>
  </si>
  <si>
    <t xml:space="preserve">0.297</t>
  </si>
  <si>
    <t xml:space="preserve">(-6.037, 6.632)</t>
  </si>
  <si>
    <t xml:space="preserve">0.927</t>
  </si>
  <si>
    <t xml:space="preserve">0.960</t>
  </si>
  <si>
    <t xml:space="preserve">0.190</t>
  </si>
  <si>
    <t xml:space="preserve">(-7.190, 7.570)</t>
  </si>
  <si>
    <t xml:space="preserve">-2.376</t>
  </si>
  <si>
    <t xml:space="preserve">(-9.485, 4.733)</t>
  </si>
  <si>
    <t xml:space="preserve">0.513</t>
  </si>
  <si>
    <t xml:space="preserve">-2.632</t>
  </si>
  <si>
    <t xml:space="preserve">(-10.412, 5.147)</t>
  </si>
  <si>
    <t xml:space="preserve">0.508</t>
  </si>
  <si>
    <t xml:space="preserve">Cohort</t>
  </si>
  <si>
    <t xml:space="preserve">Slope, years per 1% VAF (95% CI)</t>
  </si>
  <si>
    <t xml:space="preserve">P (slope)</t>
  </si>
  <si>
    <t xml:space="preserve">Spearman ρ</t>
  </si>
  <si>
    <t xml:space="preserve">P (Spearman)</t>
  </si>
  <si>
    <t xml:space="preserve">Pooled variant-positive ruptured</t>
  </si>
  <si>
    <t xml:space="preserve">132</t>
  </si>
  <si>
    <t xml:space="preserve">-2.34 (-4.01 to -0.67)</t>
  </si>
  <si>
    <t xml:space="preserve">0.006</t>
  </si>
  <si>
    <t xml:space="preserve">-0.25</t>
  </si>
  <si>
    <t xml:space="preserve">0.004</t>
  </si>
  <si>
    <t xml:space="preserve">100</t>
  </si>
  <si>
    <t xml:space="preserve">-1.56 (-3.37 to 0.25)</t>
  </si>
  <si>
    <t xml:space="preserve">0.091</t>
  </si>
  <si>
    <t xml:space="preserve">-0.17</t>
  </si>
  <si>
    <t xml:space="preserve">0.096</t>
  </si>
  <si>
    <t xml:space="preserve">25</t>
  </si>
  <si>
    <t xml:space="preserve">-4.97 (-10.72 to 0.78)</t>
  </si>
  <si>
    <t xml:space="preserve">0.087</t>
  </si>
  <si>
    <t xml:space="preserve">-0.44</t>
  </si>
  <si>
    <t xml:space="preserve">0.026</t>
  </si>
  <si>
    <t xml:space="preserve">Method</t>
  </si>
  <si>
    <t xml:space="preserve">Estimate</t>
  </si>
  <si>
    <t xml:space="preserve">Spetzler–Martin total grade</t>
  </si>
  <si>
    <t xml:space="preserve">212</t>
  </si>
  <si>
    <t xml:space="preserve">-0.024</t>
  </si>
  <si>
    <t xml:space="preserve">0.730</t>
  </si>
  <si>
    <t xml:space="preserve">0.886</t>
  </si>
  <si>
    <t xml:space="preserve">296</t>
  </si>
  <si>
    <t xml:space="preserve">-0.019</t>
  </si>
  <si>
    <t xml:space="preserve">0.748</t>
  </si>
  <si>
    <t xml:space="preserve">285</t>
  </si>
  <si>
    <t xml:space="preserve">Logistic β (VAF, proportion)</t>
  </si>
  <si>
    <t xml:space="preserve">-2.394</t>
  </si>
  <si>
    <t xml:space="preserve">0.720</t>
  </si>
  <si>
    <t xml:space="preserve">Eloquent brain location</t>
  </si>
  <si>
    <t xml:space="preserve">1.007</t>
  </si>
  <si>
    <t xml:space="preserve">Rupture (ever)</t>
  </si>
  <si>
    <t xml:space="preserve">295</t>
  </si>
  <si>
    <t xml:space="preserve">-8.386</t>
  </si>
  <si>
    <t xml:space="preserve">0.192</t>
  </si>
  <si>
    <t xml:space="preserve">242</t>
  </si>
  <si>
    <t xml:space="preserve">-0.026</t>
  </si>
  <si>
    <t xml:space="preserve">0.685</t>
  </si>
  <si>
    <t xml:space="preserve">166</t>
  </si>
  <si>
    <t xml:space="preserve">0.012</t>
  </si>
  <si>
    <t xml:space="preserve">0.873</t>
  </si>
  <si>
    <t xml:space="preserve">222</t>
  </si>
  <si>
    <t xml:space="preserve">0.038</t>
  </si>
  <si>
    <t xml:space="preserve">0.575</t>
  </si>
  <si>
    <t xml:space="preserve">217</t>
  </si>
  <si>
    <t xml:space="preserve">-7.186</t>
  </si>
  <si>
    <t xml:space="preserve">0.364</t>
  </si>
  <si>
    <t xml:space="preserve">3.450</t>
  </si>
  <si>
    <t xml:space="preserve">224</t>
  </si>
  <si>
    <t xml:space="preserve">-11.240</t>
  </si>
  <si>
    <t xml:space="preserve">0.133</t>
  </si>
  <si>
    <t xml:space="preserve">0.796</t>
  </si>
  <si>
    <t xml:space="preserve">187</t>
  </si>
  <si>
    <t xml:space="preserve">-0.025</t>
  </si>
  <si>
    <t xml:space="preserve">0.729</t>
  </si>
  <si>
    <t xml:space="preserve">29</t>
  </si>
  <si>
    <t xml:space="preserve">0.129</t>
  </si>
  <si>
    <t xml:space="preserve">0.506</t>
  </si>
  <si>
    <t xml:space="preserve">0.759</t>
  </si>
  <si>
    <t xml:space="preserve">-0.118</t>
  </si>
  <si>
    <t xml:space="preserve">0.397</t>
  </si>
  <si>
    <t xml:space="preserve">50</t>
  </si>
  <si>
    <t xml:space="preserve">44.579</t>
  </si>
  <si>
    <t xml:space="preserve">0.047</t>
  </si>
  <si>
    <t xml:space="preserve">0.282</t>
  </si>
  <si>
    <t xml:space="preserve">9.756</t>
  </si>
  <si>
    <t xml:space="preserve">0.716</t>
  </si>
  <si>
    <t xml:space="preserve">0.860</t>
  </si>
  <si>
    <t xml:space="preserve">53</t>
  </si>
  <si>
    <t xml:space="preserve">-20.553</t>
  </si>
  <si>
    <t xml:space="preserve">0.301</t>
  </si>
  <si>
    <t xml:space="preserve">38</t>
  </si>
  <si>
    <t xml:space="preserve">-0.016</t>
  </si>
  <si>
    <t xml:space="preserve">0.922</t>
  </si>
  <si>
    <t xml:space="preserve">17</t>
  </si>
  <si>
    <t xml:space="preserve">-0.379</t>
  </si>
  <si>
    <t xml:space="preserve">0.400</t>
  </si>
  <si>
    <t xml:space="preserve">20</t>
  </si>
  <si>
    <t xml:space="preserve">-0.487</t>
  </si>
  <si>
    <t xml:space="preserve">0.030</t>
  </si>
  <si>
    <t xml:space="preserve">0.177</t>
  </si>
  <si>
    <t xml:space="preserve">18</t>
  </si>
  <si>
    <t xml:space="preserve">-19.393</t>
  </si>
  <si>
    <t xml:space="preserve">0.331</t>
  </si>
  <si>
    <t xml:space="preserve">0.496</t>
  </si>
  <si>
    <t xml:space="preserve">-4.286</t>
  </si>
  <si>
    <t xml:space="preserve">0.823</t>
  </si>
  <si>
    <t xml:space="preserve">21.670</t>
  </si>
  <si>
    <t xml:space="preserve">0.304</t>
  </si>
  <si>
    <t xml:space="preserve">-0.126</t>
  </si>
  <si>
    <t xml:space="preserve">0.631</t>
  </si>
  <si>
    <t xml:space="preserve">0.757</t>
  </si>
  <si>
    <t xml:space="preserve">VIF (VAF)</t>
  </si>
  <si>
    <t xml:space="preserve">Age (self-check)</t>
  </si>
  <si>
    <t xml:space="preserve">306</t>
  </si>
  <si>
    <t xml:space="preserve">OLS β (unadjusted)</t>
  </si>
  <si>
    <t xml:space="preserve">-1.643</t>
  </si>
  <si>
    <t xml:space="preserve">(-2.582, -0.705)</t>
  </si>
  <si>
    <t xml:space="preserve">6.5e-04</t>
  </si>
  <si>
    <t xml:space="preserve">OLS β (age-adjusted)</t>
  </si>
  <si>
    <t xml:space="preserve">1.04</t>
  </si>
  <si>
    <t xml:space="preserve">-0.015</t>
  </si>
  <si>
    <t xml:space="preserve">(-0.048, 0.018)</t>
  </si>
  <si>
    <t xml:space="preserve">0.380</t>
  </si>
  <si>
    <t xml:space="preserve">(-0.049, 0.018)</t>
  </si>
  <si>
    <t xml:space="preserve">0.376</t>
  </si>
  <si>
    <t xml:space="preserve">-0.013</t>
  </si>
  <si>
    <t xml:space="preserve">(-0.071, 0.045)</t>
  </si>
  <si>
    <t xml:space="preserve">0.650</t>
  </si>
  <si>
    <t xml:space="preserve">-0.012</t>
  </si>
  <si>
    <t xml:space="preserve">(-0.071, 0.047)</t>
  </si>
  <si>
    <t xml:space="preserve">0.689</t>
  </si>
  <si>
    <t xml:space="preserve">-0.009</t>
  </si>
  <si>
    <t xml:space="preserve">(-0.041, 0.022)</t>
  </si>
  <si>
    <t xml:space="preserve">0.555</t>
  </si>
  <si>
    <t xml:space="preserve">-0.011</t>
  </si>
  <si>
    <t xml:space="preserve">(-0.043, 0.021)</t>
  </si>
  <si>
    <t xml:space="preserve">0.495</t>
  </si>
  <si>
    <t xml:space="preserve">Firth logistic β (unadjusted)</t>
  </si>
  <si>
    <t xml:space="preserve">-0.084</t>
  </si>
  <si>
    <t xml:space="preserve">(-0.209, 0.042)</t>
  </si>
  <si>
    <t xml:space="preserve">Firth logistic β (age-adjusted)</t>
  </si>
  <si>
    <t xml:space="preserve">-0.097</t>
  </si>
  <si>
    <t xml:space="preserve">(-0.225, 0.031)</t>
  </si>
  <si>
    <t xml:space="preserve">0.139</t>
  </si>
  <si>
    <t xml:space="preserve">-0.022</t>
  </si>
  <si>
    <t xml:space="preserve">(-0.152, 0.107)</t>
  </si>
  <si>
    <t xml:space="preserve">0.735</t>
  </si>
  <si>
    <t xml:space="preserve">-0.052</t>
  </si>
  <si>
    <t xml:space="preserve">(-0.184, 0.080)</t>
  </si>
  <si>
    <t xml:space="preserve">0.442</t>
  </si>
  <si>
    <t xml:space="preserve">0.010</t>
  </si>
  <si>
    <t xml:space="preserve">(-0.126, 0.146)</t>
  </si>
  <si>
    <t xml:space="preserve">0.885</t>
  </si>
  <si>
    <t xml:space="preserve">0.022</t>
  </si>
  <si>
    <t xml:space="preserve">(-0.115, 0.159)</t>
  </si>
  <si>
    <t xml:space="preserve">0.755</t>
  </si>
  <si>
    <t xml:space="preserve">Intranidal aneurysm</t>
  </si>
  <si>
    <t xml:space="preserve">199</t>
  </si>
  <si>
    <t xml:space="preserve">-0.099</t>
  </si>
  <si>
    <t xml:space="preserve">(-0.333, 0.135)</t>
  </si>
  <si>
    <t xml:space="preserve">0.406</t>
  </si>
  <si>
    <t xml:space="preserve">-0.100</t>
  </si>
  <si>
    <t xml:space="preserve">(-0.334, 0.134)</t>
  </si>
  <si>
    <t xml:space="preserve">0.402</t>
  </si>
  <si>
    <t xml:space="preserve">1.01</t>
  </si>
  <si>
    <t xml:space="preserve">Venous varix</t>
  </si>
  <si>
    <t xml:space="preserve">201</t>
  </si>
  <si>
    <t xml:space="preserve">-0.003</t>
  </si>
  <si>
    <t xml:space="preserve">(-0.235, 0.230)</t>
  </si>
  <si>
    <t xml:space="preserve">0.981</t>
  </si>
  <si>
    <t xml:space="preserve">0.015</t>
  </si>
  <si>
    <t xml:space="preserve">(-0.220, 0.249)</t>
  </si>
  <si>
    <t xml:space="preserve">0.902</t>
  </si>
  <si>
    <t xml:space="preserve">Venous outflow stenosis</t>
  </si>
  <si>
    <t xml:space="preserve">-0.064</t>
  </si>
  <si>
    <t xml:space="preserve">(-0.384, 0.256)</t>
  </si>
  <si>
    <t xml:space="preserve">0.697</t>
  </si>
  <si>
    <t xml:space="preserve">-0.072</t>
  </si>
  <si>
    <t xml:space="preserve">(-0.391, 0.247)</t>
  </si>
  <si>
    <t xml:space="preserve">0.658</t>
  </si>
  <si>
    <t xml:space="preserve">Flow-related aneurysm</t>
  </si>
  <si>
    <t xml:space="preserve">-0.642</t>
  </si>
  <si>
    <t xml:space="preserve">(-1.345, 0.062)</t>
  </si>
  <si>
    <t xml:space="preserve">0.074</t>
  </si>
  <si>
    <t xml:space="preserve">-0.647</t>
  </si>
  <si>
    <t xml:space="preserve">(-1.347, 0.052)</t>
  </si>
  <si>
    <t xml:space="preserve">0.070</t>
  </si>
  <si>
    <t xml:space="preserve">Scenario</t>
  </si>
  <si>
    <t xml:space="preserve">Outcome</t>
  </si>
  <si>
    <t xml:space="preserve">ρ</t>
  </si>
  <si>
    <t xml:space="preserve">Full cohort</t>
  </si>
  <si>
    <t xml:space="preserve">Age at presentation</t>
  </si>
  <si>
    <t xml:space="preserve">-0.141</t>
  </si>
  <si>
    <t xml:space="preserve">(-0.251, -0.029)</t>
  </si>
  <si>
    <t xml:space="preserve">0.014</t>
  </si>
  <si>
    <t xml:space="preserve">|z|≤2 trimmed</t>
  </si>
  <si>
    <t xml:space="preserve">292</t>
  </si>
  <si>
    <t xml:space="preserve">-0.125</t>
  </si>
  <si>
    <t xml:space="preserve">(-0.236, -0.008)</t>
  </si>
  <si>
    <t xml:space="preserve">0.033</t>
  </si>
  <si>
    <t xml:space="preserve">(-0.116, 0.107)</t>
  </si>
  <si>
    <t xml:space="preserve">0.954</t>
  </si>
  <si>
    <t xml:space="preserve">271</t>
  </si>
  <si>
    <t xml:space="preserve">0.025</t>
  </si>
  <si>
    <t xml:space="preserve">(-0.090, 0.137)</t>
  </si>
  <si>
    <t xml:space="preserve">0.683</t>
  </si>
  <si>
    <t xml:space="preserve">-0.006</t>
  </si>
  <si>
    <t xml:space="preserve">(-0.142, 0.126)</t>
  </si>
  <si>
    <t xml:space="preserve">0.934</t>
  </si>
  <si>
    <t xml:space="preserve">-0.021</t>
  </si>
  <si>
    <t xml:space="preserve">(-0.165, 0.125)</t>
  </si>
  <si>
    <t xml:space="preserve">0.768</t>
  </si>
  <si>
    <t xml:space="preserve">(-0.162, 0.105)</t>
  </si>
  <si>
    <t xml:space="preserve">229</t>
  </si>
  <si>
    <t xml:space="preserve">-0.058</t>
  </si>
  <si>
    <t xml:space="preserve">(-0.190, 0.077)</t>
  </si>
  <si>
    <t xml:space="preserve">0.383</t>
  </si>
  <si>
    <t xml:space="preserve">-0.048</t>
  </si>
  <si>
    <t xml:space="preserve">(-0.162, 0.065)</t>
  </si>
  <si>
    <t xml:space="preserve">0.413</t>
  </si>
  <si>
    <t xml:space="preserve">281</t>
  </si>
  <si>
    <t xml:space="preserve">-0.027</t>
  </si>
  <si>
    <t xml:space="preserve">(-0.144, 0.090)</t>
  </si>
  <si>
    <t xml:space="preserve">0.652</t>
  </si>
  <si>
    <t xml:space="preserve">(-0.126, 0.092)</t>
  </si>
  <si>
    <t xml:space="preserve">282</t>
  </si>
  <si>
    <t xml:space="preserve">(-0.104, 0.123)</t>
  </si>
  <si>
    <t xml:space="preserve">0.917</t>
  </si>
  <si>
    <t xml:space="preserve">(-0.165, 0.114)</t>
  </si>
  <si>
    <t xml:space="preserve">-0.002</t>
  </si>
  <si>
    <t xml:space="preserve">(-0.139, 0.141)</t>
  </si>
  <si>
    <t xml:space="preserve">Predictor</t>
  </si>
  <si>
    <t xml:space="preserve">Model</t>
  </si>
  <si>
    <t xml:space="preserve">Pooled Mut+ (Model 1)</t>
  </si>
  <si>
    <t xml:space="preserve">459</t>
  </si>
  <si>
    <t xml:space="preserve">OLS β</t>
  </si>
  <si>
    <t xml:space="preserve">-10.235</t>
  </si>
  <si>
    <t xml:space="preserve">(-13.517, -6.953)</t>
  </si>
  <si>
    <t xml:space="preserve">2.1e-09</t>
  </si>
  <si>
    <t xml:space="preserve">Pooled Mut+ (Model 2)</t>
  </si>
  <si>
    <t xml:space="preserve">-10.243</t>
  </si>
  <si>
    <t xml:space="preserve">(-13.494, -6.993)</t>
  </si>
  <si>
    <t xml:space="preserve">1.4e-09</t>
  </si>
  <si>
    <t xml:space="preserve">Pooled VAF/1% (Model 2)</t>
  </si>
  <si>
    <t xml:space="preserve">(-2.663, -0.624)</t>
  </si>
  <si>
    <t xml:space="preserve">Pooled VAF/1% (Model 3)</t>
  </si>
  <si>
    <t xml:space="preserve">-2.586</t>
  </si>
  <si>
    <t xml:space="preserve">(-3.403, -1.770)</t>
  </si>
  <si>
    <t xml:space="preserve">1.2e-09</t>
  </si>
  <si>
    <t xml:space="preserve">442</t>
  </si>
  <si>
    <t xml:space="preserve">-0.008</t>
  </si>
  <si>
    <t xml:space="preserve">(-0.113, 0.098)</t>
  </si>
  <si>
    <t xml:space="preserve">0.887</t>
  </si>
  <si>
    <t xml:space="preserve">0.884</t>
  </si>
  <si>
    <t xml:space="preserve">0.381</t>
  </si>
  <si>
    <t xml:space="preserve">(-0.037, 0.016)</t>
  </si>
  <si>
    <t xml:space="preserve">0.433</t>
  </si>
  <si>
    <t xml:space="preserve">(-0.104, 0.125)</t>
  </si>
  <si>
    <t xml:space="preserve">0.863</t>
  </si>
  <si>
    <t xml:space="preserve">0.011</t>
  </si>
  <si>
    <t xml:space="preserve">(-0.103, 0.126)</t>
  </si>
  <si>
    <t xml:space="preserve">0.848</t>
  </si>
  <si>
    <t xml:space="preserve">0.553</t>
  </si>
  <si>
    <t xml:space="preserve">-0.005</t>
  </si>
  <si>
    <t xml:space="preserve">(-0.031, 0.021)</t>
  </si>
  <si>
    <t xml:space="preserve">0.699</t>
  </si>
  <si>
    <t xml:space="preserve">441</t>
  </si>
  <si>
    <t xml:space="preserve">Logistic β</t>
  </si>
  <si>
    <t xml:space="preserve">-0.119</t>
  </si>
  <si>
    <t xml:space="preserve">(-0.541, 0.295)</t>
  </si>
  <si>
    <t xml:space="preserve">0.576</t>
  </si>
  <si>
    <t xml:space="preserve">-0.115</t>
  </si>
  <si>
    <t xml:space="preserve">(-0.537, 0.301)</t>
  </si>
  <si>
    <t xml:space="preserve">0.591</t>
  </si>
  <si>
    <t xml:space="preserve">(-0.211, 0.043)</t>
  </si>
  <si>
    <t xml:space="preserve">-0.071</t>
  </si>
  <si>
    <t xml:space="preserve">(-0.171, 0.030)</t>
  </si>
  <si>
    <t xml:space="preserve">0.167</t>
  </si>
  <si>
    <t xml:space="preserve">-0.151</t>
  </si>
  <si>
    <t xml:space="preserve">(-0.580, 0.283)</t>
  </si>
  <si>
    <t xml:space="preserve">0.494</t>
  </si>
  <si>
    <t xml:space="preserve">(-0.157, 0.106)</t>
  </si>
  <si>
    <t xml:space="preserve">-0.037</t>
  </si>
  <si>
    <t xml:space="preserve">(-0.145, 0.067)</t>
  </si>
  <si>
    <t xml:space="preserve">0.489</t>
  </si>
  <si>
    <t xml:space="preserve">287</t>
  </si>
  <si>
    <t xml:space="preserve">-0.651</t>
  </si>
  <si>
    <t xml:space="preserve">(-1.204, -0.114)</t>
  </si>
  <si>
    <t xml:space="preserve">0.019</t>
  </si>
  <si>
    <t xml:space="preserve">-0.653</t>
  </si>
  <si>
    <t xml:space="preserve">(-1.207, -0.116)</t>
  </si>
  <si>
    <t xml:space="preserve">(-0.128, 0.148)</t>
  </si>
  <si>
    <t xml:space="preserve">(-0.186, 0.041)</t>
  </si>
  <si>
    <t xml:space="preserve">0.217</t>
  </si>
  <si>
    <t xml:space="preserve">LRT P (Model 2 vs Model 1)</t>
  </si>
  <si>
    <t xml:space="preserve">445</t>
  </si>
  <si>
    <t xml:space="preserve">0.719</t>
  </si>
  <si>
    <t xml:space="preserve">397</t>
  </si>
  <si>
    <t xml:space="preserve">0.667</t>
  </si>
  <si>
    <t xml:space="preserve">274</t>
  </si>
  <si>
    <t xml:space="preserve">0.933</t>
  </si>
  <si>
    <t xml:space="preserve">328</t>
  </si>
  <si>
    <t xml:space="preserve">0.248</t>
  </si>
  <si>
    <t xml:space="preserve">0.193</t>
  </si>
  <si>
    <t xml:space="preserve">427</t>
  </si>
  <si>
    <t xml:space="preserve">0.347</t>
  </si>
  <si>
    <t xml:space="preserve">428</t>
  </si>
  <si>
    <t xml:space="preserve">β (y per 1% VAF)</t>
  </si>
  <si>
    <t xml:space="preserve">Full cohort (baseline)</t>
  </si>
  <si>
    <t xml:space="preserve">286</t>
  </si>
  <si>
    <t xml:space="preserve">-1.581</t>
  </si>
  <si>
    <t xml:space="preserve">(-2.617, -0.546)</t>
  </si>
  <si>
    <t xml:space="preserve">0.003</t>
  </si>
  <si>
    <t xml:space="preserve">Excluding BCH</t>
  </si>
  <si>
    <t xml:space="preserve">200</t>
  </si>
  <si>
    <t xml:space="preserve">-2.136</t>
  </si>
  <si>
    <t xml:space="preserve">(-3.502, -0.769)</t>
  </si>
  <si>
    <t xml:space="preserve">Excluding UAB</t>
  </si>
  <si>
    <t xml:space="preserve">247</t>
  </si>
  <si>
    <t xml:space="preserve">-1.331</t>
  </si>
  <si>
    <t xml:space="preserve">(-2.450, -0.212)</t>
  </si>
  <si>
    <t xml:space="preserve">0.020</t>
  </si>
  <si>
    <t xml:space="preserve">Excluding CHOP</t>
  </si>
  <si>
    <t xml:space="preserve">218</t>
  </si>
  <si>
    <t xml:space="preserve">-1.811</t>
  </si>
  <si>
    <t xml:space="preserve">(-3.139, -0.482)</t>
  </si>
  <si>
    <t xml:space="preserve">0.008</t>
  </si>
  <si>
    <t xml:space="preserve">Excluding Nikolaev</t>
  </si>
  <si>
    <t xml:space="preserve">243</t>
  </si>
  <si>
    <t xml:space="preserve">-1.101</t>
  </si>
  <si>
    <t xml:space="preserve">(-2.054, -0.148)</t>
  </si>
  <si>
    <t xml:space="preserve">0.024</t>
  </si>
  <si>
    <t xml:space="preserve">Excluding Hong</t>
  </si>
  <si>
    <t xml:space="preserve">275</t>
  </si>
  <si>
    <t xml:space="preserve">-1.554</t>
  </si>
  <si>
    <t xml:space="preserve">(-2.597, -0.511)</t>
  </si>
  <si>
    <t xml:space="preserve">Excluding Goss</t>
  </si>
  <si>
    <t xml:space="preserve">278</t>
  </si>
  <si>
    <t xml:space="preserve">-1.630</t>
  </si>
  <si>
    <t xml:space="preserve">(-2.680, -0.579)</t>
  </si>
  <si>
    <t xml:space="preserve">Excluding Gao</t>
  </si>
  <si>
    <t xml:space="preserve">255</t>
  </si>
  <si>
    <t xml:space="preserve">-1.400</t>
  </si>
  <si>
    <t xml:space="preserve">(-2.411, -0.389)</t>
  </si>
  <si>
    <t xml:space="preserve">0.007</t>
  </si>
  <si>
    <t xml:space="preserve">No trim (baseline)</t>
  </si>
  <si>
    <t xml:space="preserve">Trim ≤ 90th pctile (VAF 4.96%)</t>
  </si>
  <si>
    <t xml:space="preserve">257</t>
  </si>
  <si>
    <t xml:space="preserve">-1.796</t>
  </si>
  <si>
    <t xml:space="preserve">(-3.360, -0.232)</t>
  </si>
  <si>
    <t xml:space="preserve">Trim ≤ 95th pctile (VAF 5.95%)</t>
  </si>
  <si>
    <t xml:space="preserve">-1.632</t>
  </si>
  <si>
    <t xml:space="preserve">(-2.944, -0.320)</t>
  </si>
  <si>
    <t xml:space="preserve">Trim ≤ 99th pctile (VAF 7.24%)</t>
  </si>
  <si>
    <t xml:space="preserve">283</t>
  </si>
  <si>
    <t xml:space="preserve">-1.506</t>
  </si>
  <si>
    <t xml:space="preserve">(-2.598, -0.415)</t>
  </si>
  <si>
    <t xml:space="preserve">Institutional only (BCH + UAB + CHOP)</t>
  </si>
  <si>
    <t xml:space="preserve">193</t>
  </si>
  <si>
    <t xml:space="preserve">-0.502</t>
  </si>
  <si>
    <t xml:space="preserve">(-1.278, 0.274)</t>
  </si>
  <si>
    <t xml:space="preserve">0.204</t>
  </si>
  <si>
    <t xml:space="preserve">Published series only</t>
  </si>
  <si>
    <t xml:space="preserve">93</t>
  </si>
  <si>
    <t xml:space="preserve">-0.080</t>
  </si>
  <si>
    <t xml:space="preserve">(-2.779, 2.619)</t>
  </si>
  <si>
    <t xml:space="preserve">0.953</t>
  </si>
  <si>
    <t xml:space="preserve">Analysis</t>
  </si>
  <si>
    <t xml:space="preserve">Statistic</t>
  </si>
  <si>
    <t xml:space="preserve">Unadjusted (Fisher / Wilcoxon)</t>
  </si>
  <si>
    <t xml:space="preserve">301 / 146</t>
  </si>
  <si>
    <t xml:space="preserve">% (group 1) vs % (panel-neg)</t>
  </si>
  <si>
    <t xml:space="preserve">63.8% vs 66.4%</t>
  </si>
  <si>
    <t xml:space="preserve">0.600</t>
  </si>
  <si>
    <t xml:space="preserve">285 / 126</t>
  </si>
  <si>
    <t xml:space="preserve">36.1% vs 39.7%</t>
  </si>
  <si>
    <t xml:space="preserve">302 / 146</t>
  </si>
  <si>
    <t xml:space="preserve">Median (group 1) vs Median (panel-neg)</t>
  </si>
  <si>
    <t xml:space="preserve">1.00 vs 1.00</t>
  </si>
  <si>
    <t xml:space="preserve">0.995</t>
  </si>
  <si>
    <t xml:space="preserve">212 / 75</t>
  </si>
  <si>
    <t xml:space="preserve">48.1% vs 64.0%</t>
  </si>
  <si>
    <t xml:space="preserve">242 / 99</t>
  </si>
  <si>
    <t xml:space="preserve">0.00 vs 0.00</t>
  </si>
  <si>
    <t xml:space="preserve">0.854</t>
  </si>
  <si>
    <t xml:space="preserve">199 / 66</t>
  </si>
  <si>
    <t xml:space="preserve">11.1% vs 9.1%</t>
  </si>
  <si>
    <t xml:space="preserve">0.818</t>
  </si>
  <si>
    <t xml:space="preserve">Compact nidus</t>
  </si>
  <si>
    <t xml:space="preserve">186 / 57</t>
  </si>
  <si>
    <t xml:space="preserve">58.6% vs 61.4%</t>
  </si>
  <si>
    <t xml:space="preserve">Seizure history</t>
  </si>
  <si>
    <t xml:space="preserve">215 / 76</t>
  </si>
  <si>
    <t xml:space="preserve">22.8% vs 31.6%</t>
  </si>
  <si>
    <t xml:space="preserve">0.165</t>
  </si>
  <si>
    <t xml:space="preserve">Prior radiation</t>
  </si>
  <si>
    <t xml:space="preserve">279 / 123</t>
  </si>
  <si>
    <t xml:space="preserve">4.7% vs 8.9%</t>
  </si>
  <si>
    <t xml:space="preserve">0.111</t>
  </si>
  <si>
    <t xml:space="preserve">Prior embolization</t>
  </si>
  <si>
    <t xml:space="preserve">236 / 95</t>
  </si>
  <si>
    <t xml:space="preserve">47.0% vs 34.7%</t>
  </si>
  <si>
    <t xml:space="preserve">0.050</t>
  </si>
  <si>
    <t xml:space="preserve">312 / 153</t>
  </si>
  <si>
    <t xml:space="preserve">15.16 vs 25.00</t>
  </si>
  <si>
    <t xml:space="preserve">5.4e-09</t>
  </si>
  <si>
    <t xml:space="preserve">Age + series adjusted (GLM)</t>
  </si>
  <si>
    <t xml:space="preserve">OR (adj)</t>
  </si>
  <si>
    <t xml:space="preserve">0.868</t>
  </si>
  <si>
    <t xml:space="preserve">(0.553, 1.363)</t>
  </si>
  <si>
    <t xml:space="preserve">0.539</t>
  </si>
  <si>
    <t xml:space="preserve">0.792</t>
  </si>
  <si>
    <t xml:space="preserve">(0.496, 1.265)</t>
  </si>
  <si>
    <t xml:space="preserve">0.329</t>
  </si>
  <si>
    <t xml:space="preserve">β (adj)</t>
  </si>
  <si>
    <t xml:space="preserve">0.041</t>
  </si>
  <si>
    <t xml:space="preserve">(-0.061, 0.143)</t>
  </si>
  <si>
    <t xml:space="preserve">0.435</t>
  </si>
  <si>
    <t xml:space="preserve">0.693</t>
  </si>
  <si>
    <t xml:space="preserve">(0.375, 1.281)</t>
  </si>
  <si>
    <t xml:space="preserve">0.243</t>
  </si>
  <si>
    <t xml:space="preserve">(-0.127, 0.115)</t>
  </si>
  <si>
    <t xml:space="preserve">265</t>
  </si>
  <si>
    <t xml:space="preserve">1.232</t>
  </si>
  <si>
    <t xml:space="preserve">(0.446, 3.402)</t>
  </si>
  <si>
    <t xml:space="preserve">0.688</t>
  </si>
  <si>
    <t xml:space="preserve">0.762</t>
  </si>
  <si>
    <t xml:space="preserve">(0.367, 1.585)</t>
  </si>
  <si>
    <t xml:space="preserve">0.468</t>
  </si>
  <si>
    <t xml:space="preserve">291</t>
  </si>
  <si>
    <t xml:space="preserve">0.604</t>
  </si>
  <si>
    <t xml:space="preserve">(0.324, 1.127)</t>
  </si>
  <si>
    <t xml:space="preserve">0.113</t>
  </si>
  <si>
    <t xml:space="preserve">402</t>
  </si>
  <si>
    <t xml:space="preserve">0.765</t>
  </si>
  <si>
    <t xml:space="preserve">(0.300, 1.948)</t>
  </si>
  <si>
    <t xml:space="preserve">0.574</t>
  </si>
  <si>
    <t xml:space="preserve">331</t>
  </si>
  <si>
    <t xml:space="preserve">1.150</t>
  </si>
  <si>
    <t xml:space="preserve">(0.611, 2.163)</t>
  </si>
  <si>
    <t xml:space="preserve">0.665</t>
  </si>
  <si>
    <t xml:space="preserve">-4.749</t>
  </si>
  <si>
    <t xml:space="preserve">(-7.398, -2.100)</t>
  </si>
  <si>
    <t xml:space="preserve">4.9e-04</t>
  </si>
  <si>
    <t xml:space="preserve">299 / 146</t>
  </si>
  <si>
    <t xml:space="preserve">63.9% vs 66.4%</t>
  </si>
  <si>
    <t xml:space="preserve">0.673</t>
  </si>
  <si>
    <t xml:space="preserve">283 / 126</t>
  </si>
  <si>
    <t xml:space="preserve">36.0% vs 39.7%</t>
  </si>
  <si>
    <t xml:space="preserve">0.507</t>
  </si>
  <si>
    <t xml:space="preserve">298 / 146</t>
  </si>
  <si>
    <t xml:space="preserve">210 / 75</t>
  </si>
  <si>
    <t xml:space="preserve">240 / 99</t>
  </si>
  <si>
    <t xml:space="preserve">198 / 66</t>
  </si>
  <si>
    <t xml:space="preserve">185 / 57</t>
  </si>
  <si>
    <t xml:space="preserve">58.9% vs 61.4%</t>
  </si>
  <si>
    <t xml:space="preserve">0.760</t>
  </si>
  <si>
    <t xml:space="preserve">212 / 76</t>
  </si>
  <si>
    <t xml:space="preserve">22.6% vs 31.6%</t>
  </si>
  <si>
    <t xml:space="preserve">0.126</t>
  </si>
  <si>
    <t xml:space="preserve">278 / 123</t>
  </si>
  <si>
    <t xml:space="preserve">235 / 95</t>
  </si>
  <si>
    <t xml:space="preserve">47.2% vs 34.7%</t>
  </si>
  <si>
    <t xml:space="preserve">308 / 153</t>
  </si>
  <si>
    <t xml:space="preserve">15.12 vs 25.00</t>
  </si>
  <si>
    <t xml:space="preserve">4.4e-09</t>
  </si>
  <si>
    <t xml:space="preserve">224 / 146</t>
  </si>
  <si>
    <t xml:space="preserve">0.656</t>
  </si>
  <si>
    <t xml:space="preserve">217 / 126</t>
  </si>
  <si>
    <t xml:space="preserve">35.9% vs 39.7%</t>
  </si>
  <si>
    <t xml:space="preserve">0.490</t>
  </si>
  <si>
    <t xml:space="preserve">222 / 146</t>
  </si>
  <si>
    <t xml:space="preserve">0.613</t>
  </si>
  <si>
    <t xml:space="preserve">166 / 75</t>
  </si>
  <si>
    <t xml:space="preserve">50.6% vs 64.0%</t>
  </si>
  <si>
    <t xml:space="preserve">0.069</t>
  </si>
  <si>
    <t xml:space="preserve">187 / 99</t>
  </si>
  <si>
    <t xml:space="preserve">0.998</t>
  </si>
  <si>
    <t xml:space="preserve">157 / 66</t>
  </si>
  <si>
    <t xml:space="preserve">13.4% vs 9.1%</t>
  </si>
  <si>
    <t xml:space="preserve">0.501</t>
  </si>
  <si>
    <t xml:space="preserve">149 / 57</t>
  </si>
  <si>
    <t xml:space="preserve">55.7% vs 61.4%</t>
  </si>
  <si>
    <t xml:space="preserve">0.530</t>
  </si>
  <si>
    <t xml:space="preserve">166 / 76</t>
  </si>
  <si>
    <t xml:space="preserve">22.9% vs 31.6%</t>
  </si>
  <si>
    <t xml:space="preserve">0.157</t>
  </si>
  <si>
    <t xml:space="preserve">213 / 123</t>
  </si>
  <si>
    <t xml:space="preserve">3.8% vs 8.9%</t>
  </si>
  <si>
    <t xml:space="preserve">0.053</t>
  </si>
  <si>
    <t xml:space="preserve">183 / 95</t>
  </si>
  <si>
    <t xml:space="preserve">51.4% vs 34.7%</t>
  </si>
  <si>
    <t xml:space="preserve">230 / 153</t>
  </si>
  <si>
    <t xml:space="preserve">14.40 vs 25.00</t>
  </si>
  <si>
    <t xml:space="preserve">2.3e-10</t>
  </si>
  <si>
    <t xml:space="preserve">370</t>
  </si>
  <si>
    <t xml:space="preserve">0.774</t>
  </si>
  <si>
    <t xml:space="preserve">(0.472, 1.270)</t>
  </si>
  <si>
    <t xml:space="preserve">0.311</t>
  </si>
  <si>
    <t xml:space="preserve">343</t>
  </si>
  <si>
    <t xml:space="preserve">0.733</t>
  </si>
  <si>
    <t xml:space="preserve">(0.443, 1.212)</t>
  </si>
  <si>
    <t xml:space="preserve">0.226</t>
  </si>
  <si>
    <t xml:space="preserve">368</t>
  </si>
  <si>
    <t xml:space="preserve">(-0.086, 0.130)</t>
  </si>
  <si>
    <t xml:space="preserve">241</t>
  </si>
  <si>
    <t xml:space="preserve">(0.400, 1.444)</t>
  </si>
  <si>
    <t xml:space="preserve">0.401</t>
  </si>
  <si>
    <t xml:space="preserve">(-0.139, 0.120)</t>
  </si>
  <si>
    <t xml:space="preserve">0.890</t>
  </si>
  <si>
    <t xml:space="preserve">223</t>
  </si>
  <si>
    <t xml:space="preserve">1.498</t>
  </si>
  <si>
    <t xml:space="preserve">(0.540, 4.158)</t>
  </si>
  <si>
    <t xml:space="preserve">0.438</t>
  </si>
  <si>
    <t xml:space="preserve">206</t>
  </si>
  <si>
    <t xml:space="preserve">0.705</t>
  </si>
  <si>
    <t xml:space="preserve">(0.331, 1.500)</t>
  </si>
  <si>
    <t xml:space="preserve">0.599</t>
  </si>
  <si>
    <t xml:space="preserve">(0.310, 1.159)</t>
  </si>
  <si>
    <t xml:space="preserve">0.128</t>
  </si>
  <si>
    <t xml:space="preserve">336</t>
  </si>
  <si>
    <t xml:space="preserve">0.586</t>
  </si>
  <si>
    <t xml:space="preserve">(0.201, 1.712)</t>
  </si>
  <si>
    <t xml:space="preserve">1.427</t>
  </si>
  <si>
    <t xml:space="preserve">(0.737, 2.766)</t>
  </si>
  <si>
    <t xml:space="preserve">0.292</t>
  </si>
  <si>
    <t xml:space="preserve">383</t>
  </si>
  <si>
    <t xml:space="preserve">-5.708</t>
  </si>
  <si>
    <t xml:space="preserve">(-8.575, -2.841)</t>
  </si>
  <si>
    <t xml:space="preserve">1.1e-04</t>
  </si>
  <si>
    <t xml:space="preserve">58 / 146</t>
  </si>
  <si>
    <t xml:space="preserve">0.745</t>
  </si>
  <si>
    <t xml:space="preserve">50 / 126</t>
  </si>
  <si>
    <t xml:space="preserve">34.0% vs 39.7%</t>
  </si>
  <si>
    <t xml:space="preserve">0.606</t>
  </si>
  <si>
    <t xml:space="preserve">59 / 146</t>
  </si>
  <si>
    <t xml:space="preserve">0.623</t>
  </si>
  <si>
    <t xml:space="preserve">29 / 75</t>
  </si>
  <si>
    <t xml:space="preserve">41.4% vs 64.0%</t>
  </si>
  <si>
    <t xml:space="preserve">38 / 99</t>
  </si>
  <si>
    <t xml:space="preserve">0.855</t>
  </si>
  <si>
    <t xml:space="preserve">27 / 66</t>
  </si>
  <si>
    <t xml:space="preserve">0.0% vs 9.1%</t>
  </si>
  <si>
    <t xml:space="preserve">0.176</t>
  </si>
  <si>
    <t xml:space="preserve">22 / 57</t>
  </si>
  <si>
    <t xml:space="preserve">72.7% vs 61.4%</t>
  </si>
  <si>
    <t xml:space="preserve">0.436</t>
  </si>
  <si>
    <t xml:space="preserve">32 / 76</t>
  </si>
  <si>
    <t xml:space="preserve">15.6% vs 31.6%</t>
  </si>
  <si>
    <t xml:space="preserve">0.101</t>
  </si>
  <si>
    <t xml:space="preserve">50 / 123</t>
  </si>
  <si>
    <t xml:space="preserve">8.0% vs 8.9%</t>
  </si>
  <si>
    <t xml:space="preserve">1.000</t>
  </si>
  <si>
    <t xml:space="preserve">38 / 95</t>
  </si>
  <si>
    <t xml:space="preserve">31.6% vs 34.7%</t>
  </si>
  <si>
    <t xml:space="preserve">0.840</t>
  </si>
  <si>
    <t xml:space="preserve">61 / 153</t>
  </si>
  <si>
    <t xml:space="preserve">20.33 vs 25.00</t>
  </si>
  <si>
    <t xml:space="preserve">224 / 58</t>
  </si>
  <si>
    <t xml:space="preserve">63.8% vs 63.8%</t>
  </si>
  <si>
    <t xml:space="preserve">217 / 50</t>
  </si>
  <si>
    <t xml:space="preserve">35.9% vs 34.0%</t>
  </si>
  <si>
    <t xml:space="preserve">0.871</t>
  </si>
  <si>
    <t xml:space="preserve">222 / 59</t>
  </si>
  <si>
    <t xml:space="preserve">166 / 29</t>
  </si>
  <si>
    <t xml:space="preserve">50.6% vs 41.4%</t>
  </si>
  <si>
    <t xml:space="preserve">0.423</t>
  </si>
  <si>
    <t xml:space="preserve">187 / 38</t>
  </si>
  <si>
    <t xml:space="preserve">0.842</t>
  </si>
  <si>
    <t xml:space="preserve">157 / 27</t>
  </si>
  <si>
    <t xml:space="preserve">13.4% vs 0.0%</t>
  </si>
  <si>
    <t xml:space="preserve">149 / 22</t>
  </si>
  <si>
    <t xml:space="preserve">55.7% vs 72.7%</t>
  </si>
  <si>
    <t xml:space="preserve">166 / 32</t>
  </si>
  <si>
    <t xml:space="preserve">22.9% vs 15.6%</t>
  </si>
  <si>
    <t xml:space="preserve">0.484</t>
  </si>
  <si>
    <t xml:space="preserve">213 / 50</t>
  </si>
  <si>
    <t xml:space="preserve">3.8% vs 8.0%</t>
  </si>
  <si>
    <t xml:space="preserve">0.250</t>
  </si>
  <si>
    <t xml:space="preserve">183 / 38</t>
  </si>
  <si>
    <t xml:space="preserve">51.4% vs 31.6%</t>
  </si>
  <si>
    <t xml:space="preserve">0.032</t>
  </si>
  <si>
    <t xml:space="preserve">230 / 61</t>
  </si>
  <si>
    <t xml:space="preserve">14.40 vs 20.33</t>
  </si>
  <si>
    <t xml:space="preserve">4.0e-04</t>
  </si>
  <si>
    <t xml:space="preserve">Location</t>
  </si>
  <si>
    <t xml:space="preserve">Contrast</t>
  </si>
  <si>
    <t xml:space="preserve">β (interaction)</t>
  </si>
  <si>
    <t xml:space="preserve">Basal Ganglia</t>
  </si>
  <si>
    <t xml:space="preserve">Variant-positive vs Panel-negative</t>
  </si>
  <si>
    <t xml:space="preserve">-25.067</t>
  </si>
  <si>
    <t xml:space="preserve">0.142</t>
  </si>
  <si>
    <t xml:space="preserve">14.729</t>
  </si>
  <si>
    <t xml:space="preserve">-13.936</t>
  </si>
  <si>
    <t xml:space="preserve">0.987</t>
  </si>
  <si>
    <t xml:space="preserve">-1.020</t>
  </si>
  <si>
    <t xml:space="preserve">-0.212</t>
  </si>
  <si>
    <t xml:space="preserve">0.106</t>
  </si>
  <si>
    <t xml:space="preserve">0.124</t>
  </si>
  <si>
    <t xml:space="preserve">Brainstem</t>
  </si>
  <si>
    <t xml:space="preserve">-26.711</t>
  </si>
  <si>
    <t xml:space="preserve">0.201</t>
  </si>
  <si>
    <t xml:space="preserve">0.097</t>
  </si>
  <si>
    <t xml:space="preserve">0.140</t>
  </si>
  <si>
    <t xml:space="preserve">-0.206</t>
  </si>
  <si>
    <t xml:space="preserve">0.117</t>
  </si>
  <si>
    <t xml:space="preserve">0.001</t>
  </si>
  <si>
    <t xml:space="preserve">0.999</t>
  </si>
  <si>
    <t xml:space="preserve">Cerebellar</t>
  </si>
  <si>
    <t xml:space="preserve">-4.297</t>
  </si>
  <si>
    <t xml:space="preserve">0.488</t>
  </si>
  <si>
    <t xml:space="preserve">-0.031</t>
  </si>
  <si>
    <t xml:space="preserve">0.977</t>
  </si>
  <si>
    <t xml:space="preserve">-1.031</t>
  </si>
  <si>
    <t xml:space="preserve">0.212</t>
  </si>
  <si>
    <t xml:space="preserve">-0.079</t>
  </si>
  <si>
    <t xml:space="preserve">0.936</t>
  </si>
  <si>
    <t xml:space="preserve">0.906</t>
  </si>
  <si>
    <t xml:space="preserve">-0.927</t>
  </si>
  <si>
    <t xml:space="preserve">-15.028</t>
  </si>
  <si>
    <t xml:space="preserve">0.982</t>
  </si>
  <si>
    <t xml:space="preserve">0.066</t>
  </si>
  <si>
    <t xml:space="preserve">Frontal</t>
  </si>
  <si>
    <t xml:space="preserve">2.197</t>
  </si>
  <si>
    <t xml:space="preserve">0.989</t>
  </si>
  <si>
    <t xml:space="preserve">0.573</t>
  </si>
  <si>
    <t xml:space="preserve">0.260</t>
  </si>
  <si>
    <t xml:space="preserve">0.751</t>
  </si>
  <si>
    <t xml:space="preserve">-0.765</t>
  </si>
  <si>
    <t xml:space="preserve">0.040</t>
  </si>
  <si>
    <t xml:space="preserve">0.767</t>
  </si>
  <si>
    <t xml:space="preserve">1.511</t>
  </si>
  <si>
    <t xml:space="preserve">0.215</t>
  </si>
  <si>
    <t xml:space="preserve">-0.340</t>
  </si>
  <si>
    <t xml:space="preserve">0.461</t>
  </si>
  <si>
    <t xml:space="preserve">-0.044</t>
  </si>
  <si>
    <t xml:space="preserve">0.711</t>
  </si>
  <si>
    <t xml:space="preserve">Occipital</t>
  </si>
  <si>
    <t xml:space="preserve">5.757</t>
  </si>
  <si>
    <t xml:space="preserve">0.227</t>
  </si>
  <si>
    <t xml:space="preserve">1.212</t>
  </si>
  <si>
    <t xml:space="preserve">0.172</t>
  </si>
  <si>
    <t xml:space="preserve">-0.521</t>
  </si>
  <si>
    <t xml:space="preserve">0.396</t>
  </si>
  <si>
    <t xml:space="preserve">0.946</t>
  </si>
  <si>
    <t xml:space="preserve">0.861</t>
  </si>
  <si>
    <t xml:space="preserve">0.247</t>
  </si>
  <si>
    <t xml:space="preserve">0.063</t>
  </si>
  <si>
    <t xml:space="preserve">-2.161</t>
  </si>
  <si>
    <t xml:space="preserve">0.078</t>
  </si>
  <si>
    <t xml:space="preserve">0.941</t>
  </si>
  <si>
    <t xml:space="preserve">0.296</t>
  </si>
  <si>
    <t xml:space="preserve">0.049</t>
  </si>
  <si>
    <t xml:space="preserve">Parietal</t>
  </si>
  <si>
    <t xml:space="preserve">KRAS G12D vs Panel-negative</t>
  </si>
  <si>
    <t xml:space="preserve">-3.796</t>
  </si>
  <si>
    <t xml:space="preserve">0.828</t>
  </si>
  <si>
    <t xml:space="preserve">1.097</t>
  </si>
  <si>
    <t xml:space="preserve">0.640</t>
  </si>
  <si>
    <t xml:space="preserve">0.174</t>
  </si>
  <si>
    <t xml:space="preserve">0.766</t>
  </si>
  <si>
    <t xml:space="preserve">0.875</t>
  </si>
  <si>
    <t xml:space="preserve">-0.303</t>
  </si>
  <si>
    <t xml:space="preserve">0.602</t>
  </si>
  <si>
    <t xml:space="preserve">0.628</t>
  </si>
  <si>
    <t xml:space="preserve">1.891</t>
  </si>
  <si>
    <t xml:space="preserve">6.7e-04</t>
  </si>
  <si>
    <t xml:space="preserve">-0.168</t>
  </si>
  <si>
    <t xml:space="preserve">0.218</t>
  </si>
  <si>
    <t xml:space="preserve">KRAS G12V vs Panel-negative</t>
  </si>
  <si>
    <t xml:space="preserve">214</t>
  </si>
  <si>
    <t xml:space="preserve">-3.554</t>
  </si>
  <si>
    <t xml:space="preserve">0.651</t>
  </si>
  <si>
    <t xml:space="preserve">0.605</t>
  </si>
  <si>
    <t xml:space="preserve">176</t>
  </si>
  <si>
    <t xml:space="preserve">-1.684</t>
  </si>
  <si>
    <t xml:space="preserve">0.160</t>
  </si>
  <si>
    <t xml:space="preserve">104</t>
  </si>
  <si>
    <t xml:space="preserve">-0.782</t>
  </si>
  <si>
    <t xml:space="preserve">0.469</t>
  </si>
  <si>
    <t xml:space="preserve">137</t>
  </si>
  <si>
    <t xml:space="preserve">-0.114</t>
  </si>
  <si>
    <t xml:space="preserve">0.630</t>
  </si>
  <si>
    <t xml:space="preserve">0.420</t>
  </si>
  <si>
    <t xml:space="preserve">204</t>
  </si>
  <si>
    <t xml:space="preserve">1.979</t>
  </si>
  <si>
    <t xml:space="preserve">0.018</t>
  </si>
  <si>
    <t xml:space="preserve">0.146</t>
  </si>
  <si>
    <t xml:space="preserve">205</t>
  </si>
  <si>
    <t xml:space="preserve">-0.147</t>
  </si>
  <si>
    <t xml:space="preserve">0.445</t>
  </si>
  <si>
    <t xml:space="preserve">-3.880</t>
  </si>
  <si>
    <t xml:space="preserve">0.349</t>
  </si>
  <si>
    <t xml:space="preserve">0.880</t>
  </si>
  <si>
    <t xml:space="preserve">0.937</t>
  </si>
  <si>
    <t xml:space="preserve">0.198</t>
  </si>
  <si>
    <t xml:space="preserve">0.970</t>
  </si>
  <si>
    <t xml:space="preserve">-0.235</t>
  </si>
  <si>
    <t xml:space="preserve">0.737</t>
  </si>
  <si>
    <t xml:space="preserve">0.897</t>
  </si>
  <si>
    <t xml:space="preserve">0.618</t>
  </si>
  <si>
    <t xml:space="preserve">0.617</t>
  </si>
  <si>
    <t xml:space="preserve">1.806</t>
  </si>
  <si>
    <t xml:space="preserve">5.9e-04</t>
  </si>
  <si>
    <t xml:space="preserve">0.187</t>
  </si>
  <si>
    <t xml:space="preserve">Temporal</t>
  </si>
  <si>
    <t xml:space="preserve">-7.450</t>
  </si>
  <si>
    <t xml:space="preserve">0.075</t>
  </si>
  <si>
    <t xml:space="preserve">-0.701</t>
  </si>
  <si>
    <t xml:space="preserve">0.352</t>
  </si>
  <si>
    <t xml:space="preserve">0.980</t>
  </si>
  <si>
    <t xml:space="preserve">-0.466</t>
  </si>
  <si>
    <t xml:space="preserve">0.472</t>
  </si>
  <si>
    <t xml:space="preserve">0.099</t>
  </si>
  <si>
    <t xml:space="preserve">0.504</t>
  </si>
  <si>
    <t xml:space="preserve">-1.001</t>
  </si>
  <si>
    <t xml:space="preserve">0.318</t>
  </si>
  <si>
    <t xml:space="preserve">0.874</t>
  </si>
  <si>
    <t xml:space="preserve">-0.260</t>
  </si>
  <si>
    <t xml:space="preserve">Variable</t>
  </si>
  <si>
    <t xml:space="preserve">Comparison</t>
  </si>
  <si>
    <t xml:space="preserve">Test</t>
  </si>
  <si>
    <t xml:space="preserve">Hemisphere (Left vs Right)</t>
  </si>
  <si>
    <t xml:space="preserve">323</t>
  </si>
  <si>
    <t xml:space="preserve">Fisher exact (2 × 2)</t>
  </si>
  <si>
    <t xml:space="preserve">Laterality (Left / Right / Bihemispheric–Midline)</t>
  </si>
  <si>
    <t xml:space="preserve">334</t>
  </si>
  <si>
    <t xml:space="preserve">Fisher exact (3 × 2)</t>
  </si>
  <si>
    <t xml:space="preserve">0.016</t>
  </si>
  <si>
    <t xml:space="preserve">Supratentorial vs Infratentorial</t>
  </si>
  <si>
    <t xml:space="preserve">406</t>
  </si>
  <si>
    <t xml:space="preserve">0.356</t>
  </si>
  <si>
    <t xml:space="preserve">Sex (Male vs Female)</t>
  </si>
  <si>
    <t xml:space="preserve">0.236</t>
  </si>
  <si>
    <t xml:space="preserve">Self-reported race</t>
  </si>
  <si>
    <t xml:space="preserve">353</t>
  </si>
  <si>
    <t xml:space="preserve">Fisher exact (simulated, B = 20,000)</t>
  </si>
  <si>
    <t xml:space="preserve">N (positive / negative)</t>
  </si>
  <si>
    <t xml:space="preserve">Observed effect size</t>
  </si>
  <si>
    <t xml:space="preserve">Power (post-hoc, observed effect)</t>
  </si>
  <si>
    <t xml:space="preserve">Adequacy</t>
  </si>
  <si>
    <t xml:space="preserve">d = 0.58</t>
  </si>
  <si>
    <t xml:space="preserve">Adequate (≥0.80)</t>
  </si>
  <si>
    <t xml:space="preserve">h = 0.39</t>
  </si>
  <si>
    <t xml:space="preserve">0.782</t>
  </si>
  <si>
    <t xml:space="preserve">Moderate (0.50–0.79)</t>
  </si>
  <si>
    <t xml:space="preserve">VAF × age (Spearman)</t>
  </si>
  <si>
    <t xml:space="preserve">ρ = -0.141</t>
  </si>
  <si>
    <t xml:space="preserve">0.695</t>
  </si>
  <si>
    <t xml:space="preserve">h = -0.32</t>
  </si>
  <si>
    <t xml:space="preserve">0.668</t>
  </si>
  <si>
    <t xml:space="preserve">Rupture (at surgery)</t>
  </si>
  <si>
    <t xml:space="preserve">h = -0.21</t>
  </si>
  <si>
    <t xml:space="preserve">0.534</t>
  </si>
  <si>
    <t xml:space="preserve">Location: Parietal</t>
  </si>
  <si>
    <t xml:space="preserve">320 / 155</t>
  </si>
  <si>
    <t xml:space="preserve">h = 0.15</t>
  </si>
  <si>
    <t xml:space="preserve">Underpowered (&lt;0.50)</t>
  </si>
  <si>
    <t xml:space="preserve">h = -0.15</t>
  </si>
  <si>
    <t xml:space="preserve">0.181</t>
  </si>
  <si>
    <t xml:space="preserve">Location: Thalamus</t>
  </si>
  <si>
    <t xml:space="preserve">h = -0.10</t>
  </si>
  <si>
    <t xml:space="preserve">0.169</t>
  </si>
  <si>
    <t xml:space="preserve">VAF × Rupture (Spearman)</t>
  </si>
  <si>
    <t xml:space="preserve">ρ = -0.048</t>
  </si>
  <si>
    <t xml:space="preserve">0.130</t>
  </si>
  <si>
    <t xml:space="preserve">Location: Temporal</t>
  </si>
  <si>
    <t xml:space="preserve">h = 0.08</t>
  </si>
  <si>
    <t xml:space="preserve">0.127</t>
  </si>
  <si>
    <t xml:space="preserve">Location: Basal ganglia</t>
  </si>
  <si>
    <t xml:space="preserve">h = -0.07</t>
  </si>
  <si>
    <t xml:space="preserve">0.109</t>
  </si>
  <si>
    <t xml:space="preserve">0.105</t>
  </si>
  <si>
    <t xml:space="preserve">Location: Occipital</t>
  </si>
  <si>
    <t xml:space="preserve">h = 0.06</t>
  </si>
  <si>
    <t xml:space="preserve">Location: Cerebellar</t>
  </si>
  <si>
    <t xml:space="preserve">h = -0.06</t>
  </si>
  <si>
    <t xml:space="preserve">0.090</t>
  </si>
  <si>
    <t xml:space="preserve">0.086</t>
  </si>
  <si>
    <t xml:space="preserve">201 / 66</t>
  </si>
  <si>
    <t xml:space="preserve">h = 0.07</t>
  </si>
  <si>
    <t xml:space="preserve">0.076</t>
  </si>
  <si>
    <t xml:space="preserve">VAF × Spetzler–Martin size (Spearman)</t>
  </si>
  <si>
    <t xml:space="preserve">ρ = -0.019</t>
  </si>
  <si>
    <t xml:space="preserve">0.062</t>
  </si>
  <si>
    <t xml:space="preserve">Location: Frontal</t>
  </si>
  <si>
    <t xml:space="preserve">h = 0.01</t>
  </si>
  <si>
    <t xml:space="preserve">0.051</t>
  </si>
  <si>
    <t xml:space="preserve">d = 0.00</t>
  </si>
  <si>
    <t xml:space="preserve">Location: Brainstem</t>
  </si>
  <si>
    <t xml:space="preserve">h = -0.00</t>
  </si>
  <si>
    <t xml:space="preserve">Observed OR (95% CI)</t>
  </si>
  <si>
    <t xml:space="preserve">MDE OR (80% power)</t>
  </si>
  <si>
    <t xml:space="preserve">Inverse MDE (80% power)</t>
  </si>
  <si>
    <t xml:space="preserve">Informativeness</t>
  </si>
  <si>
    <t xml:space="preserve">0.860 (0.559, 1.324)</t>
  </si>
  <si>
    <t xml:space="preserve">1.827</t>
  </si>
  <si>
    <t xml:space="preserve">0.547</t>
  </si>
  <si>
    <t xml:space="preserve">Informative null (both sides)</t>
  </si>
  <si>
    <t xml:space="preserve">0.522 (0.303, 0.898)</t>
  </si>
  <si>
    <t xml:space="preserve">2.346</t>
  </si>
  <si>
    <t xml:space="preserve">0.426</t>
  </si>
  <si>
    <t xml:space="preserve">Rules out meaningful increase only</t>
  </si>
  <si>
    <t xml:space="preserve">0.482 (0.132, 1.763)</t>
  </si>
  <si>
    <t xml:space="preserve">3.575</t>
  </si>
  <si>
    <t xml:space="preserve">0.280</t>
  </si>
  <si>
    <t xml:space="preserve">1.243 (0.481, 3.211)</t>
  </si>
  <si>
    <t xml:space="preserve">3.060</t>
  </si>
  <si>
    <t xml:space="preserve">0.327</t>
  </si>
  <si>
    <t xml:space="preserve">Rules out meaningful decrease only</t>
  </si>
  <si>
    <t xml:space="preserve">0.890 (0.587, 1.349)</t>
  </si>
  <si>
    <t xml:space="preserve">1.895</t>
  </si>
  <si>
    <t xml:space="preserve">0.528</t>
  </si>
  <si>
    <t xml:space="preserve">7.369 (0.426, 127.503)</t>
  </si>
  <si>
    <t xml:space="preserve">11.456</t>
  </si>
  <si>
    <t xml:space="preserve">1.274 (0.456, 3.557)</t>
  </si>
  <si>
    <t xml:space="preserve">3.268</t>
  </si>
  <si>
    <t xml:space="preserve">0.306</t>
  </si>
  <si>
    <t xml:space="preserve">OR (95% CI)</t>
  </si>
  <si>
    <t xml:space="preserve">KRAS-NonParietal (vs Panel-neg)</t>
  </si>
  <si>
    <t xml:space="preserve">0.734 (0.471, 1.137)</t>
  </si>
  <si>
    <t xml:space="preserve">KRAS-Parietal (vs Panel-neg)</t>
  </si>
  <si>
    <t xml:space="preserve">1.736 (0.917, 3.416)</t>
  </si>
  <si>
    <t xml:space="preserve">0.098</t>
  </si>
  <si>
    <t xml:space="preserve">0.702 (0.435, 1.126)</t>
  </si>
  <si>
    <t xml:space="preserve">0.145</t>
  </si>
  <si>
    <t xml:space="preserve">1.615 (0.825, 3.270)</t>
  </si>
  <si>
    <t xml:space="preserve">0.170</t>
  </si>
  <si>
    <t xml:space="preserve">Age (per year)</t>
  </si>
  <si>
    <t xml:space="preserve">0.993 (0.978, 1.009)</t>
  </si>
  <si>
    <t xml:space="preserve">Series: UAB</t>
  </si>
  <si>
    <t xml:space="preserve">2.721 (1.246, 6.230)</t>
  </si>
  <si>
    <t xml:space="preserve">Series: CHOP</t>
  </si>
  <si>
    <t xml:space="preserve">1.336 (0.738, 2.433)</t>
  </si>
  <si>
    <t xml:space="preserve">0.341</t>
  </si>
  <si>
    <t xml:space="preserve">Series: Nikolaev</t>
  </si>
  <si>
    <t xml:space="preserve">1.348 (0.637, 2.885)</t>
  </si>
  <si>
    <t xml:space="preserve">Series: Priemer</t>
  </si>
  <si>
    <t xml:space="preserve">0.555 (0.192, 1.574)</t>
  </si>
  <si>
    <t xml:space="preserve">0.269</t>
  </si>
  <si>
    <t xml:space="preserve">Series: Hong</t>
  </si>
  <si>
    <t xml:space="preserve">1.262 (0.440, 3.852)</t>
  </si>
  <si>
    <t xml:space="preserve">0.671</t>
  </si>
  <si>
    <t xml:space="preserve">Series: Gao</t>
  </si>
  <si>
    <t xml:space="preserve">1.425 (0.652, 3.161)</t>
  </si>
  <si>
    <t xml:space="preserve">0.378</t>
  </si>
  <si>
    <t xml:space="preserve">KRAS G12D-NonParietal (vs Panel-neg)</t>
  </si>
  <si>
    <t xml:space="preserve">0.650 (0.386, 1.085)</t>
  </si>
  <si>
    <t xml:space="preserve">KRAS G12D-Parietal (vs Panel-neg)</t>
  </si>
  <si>
    <t xml:space="preserve">1.412 (0.675, 3.083)</t>
  </si>
  <si>
    <t xml:space="preserve">0.370</t>
  </si>
  <si>
    <t xml:space="preserve">0.988 (0.971, 1.005)</t>
  </si>
  <si>
    <t xml:space="preserve">0.171</t>
  </si>
  <si>
    <t xml:space="preserve">3.163 (1.332, 8.002)</t>
  </si>
  <si>
    <t xml:space="preserve">1.185 (0.631, 2.232)</t>
  </si>
  <si>
    <t xml:space="preserve">0.598</t>
  </si>
  <si>
    <t xml:space="preserve">1.362 (0.603, 3.118)</t>
  </si>
  <si>
    <t xml:space="preserve">0.460</t>
  </si>
  <si>
    <t xml:space="preserve">0.462 (0.130, 1.562)</t>
  </si>
  <si>
    <t xml:space="preserve">1.098 (0.361, 3.499)</t>
  </si>
  <si>
    <t xml:space="preserve">0.870</t>
  </si>
  <si>
    <t xml:space="preserve">1.745 (0.732, 4.282)</t>
  </si>
  <si>
    <t xml:space="preserve">KRAS G12V-NonParietal (vs Panel-neg)</t>
  </si>
  <si>
    <t xml:space="preserve">0.775 (0.378, 1.611)</t>
  </si>
  <si>
    <t xml:space="preserve">KRAS G12V-Parietal (vs Panel-neg)</t>
  </si>
  <si>
    <t xml:space="preserve">2.297 (0.646, 10.894)</t>
  </si>
  <si>
    <t xml:space="preserve">0.234</t>
  </si>
  <si>
    <t xml:space="preserve">1.006 (0.985, 1.027)</t>
  </si>
  <si>
    <t xml:space="preserve">0.580</t>
  </si>
  <si>
    <t xml:space="preserve">2.168 (0.629, 7.988)</t>
  </si>
  <si>
    <t xml:space="preserve">0.229</t>
  </si>
  <si>
    <t xml:space="preserve">1.856 (0.635, 5.586)</t>
  </si>
  <si>
    <t xml:space="preserve">0.261</t>
  </si>
  <si>
    <t xml:space="preserve">1.047 (0.332, 3.317)</t>
  </si>
  <si>
    <t xml:space="preserve">0.454 (0.130, 1.536)</t>
  </si>
  <si>
    <t xml:space="preserve">0.208</t>
  </si>
  <si>
    <t xml:space="preserve">0.826 (0.178, 4.086)</t>
  </si>
  <si>
    <t xml:space="preserve">0.807</t>
  </si>
  <si>
    <t xml:space="preserve">0.972 (0.309, 3.062)</t>
  </si>
  <si>
    <t xml:space="preserve">0.962</t>
  </si>
  <si>
    <t xml:space="preserve">Feature</t>
  </si>
  <si>
    <t xml:space="preserve">P (sample type)</t>
  </si>
  <si>
    <t xml:space="preserve">1.171 (0.468, 2.935)</t>
  </si>
  <si>
    <t xml:space="preserve">0.736</t>
  </si>
  <si>
    <t xml:space="preserve">267</t>
  </si>
  <si>
    <t xml:space="preserve">1.110 (0.417, 2.953)</t>
  </si>
  <si>
    <t xml:space="preserve">0.560</t>
  </si>
  <si>
    <t xml:space="preserve">6.885 (0.474, 100.099)</t>
  </si>
  <si>
    <t xml:space="preserve">0.158</t>
  </si>
  <si>
    <t xml:space="preserve">0.749</t>
  </si>
  <si>
    <t xml:space="preserve">0.503 (0.146, 1.734)</t>
  </si>
  <si>
    <t xml:space="preserve">0.276</t>
  </si>
  <si>
    <t xml:space="preserve">0.254</t>
  </si>
  <si>
    <t xml:space="preserve">Events</t>
  </si>
  <si>
    <t xml:space="preserve">Notes</t>
  </si>
  <si>
    <t xml:space="preserve">196</t>
  </si>
  <si>
    <t xml:space="preserve">1.518</t>
  </si>
  <si>
    <t xml:space="preserve">(1.135, 2.030)</t>
  </si>
  <si>
    <t xml:space="preserve">Integer points = 1; scale factor = 2</t>
  </si>
  <si>
    <t xml:space="preserve">1.611</t>
  </si>
  <si>
    <t xml:space="preserve">(1.204, 2.155)</t>
  </si>
  <si>
    <t xml:space="preserve">Spetzler–Martin size (per grade)</t>
  </si>
  <si>
    <t xml:space="preserve">0.836</t>
  </si>
  <si>
    <t xml:space="preserve">(0.614, 1.138)</t>
  </si>
  <si>
    <t xml:space="preserve">0.255</t>
  </si>
  <si>
    <t xml:space="preserve">Integer points = 0; scale factor = 2</t>
  </si>
  <si>
    <t xml:space="preserve">Metric</t>
  </si>
  <si>
    <t xml:space="preserve">C-index</t>
  </si>
  <si>
    <t xml:space="preserve">Apparent C-index (full cohort)</t>
  </si>
  <si>
    <t xml:space="preserve">Apparent C is uncorrected; serves only as the baseline for the optimism estimate.</t>
  </si>
  <si>
    <t xml:space="preserve">Mean optimism (Harrell bootstrap)</t>
  </si>
  <si>
    <t xml:space="preserve">(-0.035, 0.050)</t>
  </si>
  <si>
    <t xml:space="preserve">Mean of (train C - test C) across bootstrap replicates. (B = 500)</t>
  </si>
  <si>
    <t xml:space="preserve">Optimism-corrected C-index</t>
  </si>
  <si>
    <t xml:space="preserve">0.584</t>
  </si>
  <si>
    <t xml:space="preserve">(0.541, 0.626)</t>
  </si>
  <si>
    <t xml:space="preserve">Apparent C - mean optimism. CIs are translated from the bootstrap optimism quantiles. (B = 500)</t>
  </si>
  <si>
    <t xml:space="preserve">Holdout C-index (stratified 20% split)</t>
  </si>
  <si>
    <t xml:space="preserve">0.542</t>
  </si>
  <si>
    <t xml:space="preserve">Single 80/20 stratified split (stratified by series + event).</t>
  </si>
  <si>
    <t xml:space="preserve">Supplementary Tables 01-14</t>
  </si>
  <si>
    <t xml:space="preserve">Table</t>
  </si>
  <si>
    <t xml:space="preserve">Title</t>
  </si>
  <si>
    <t xml:space="preserve">Sheets</t>
  </si>
  <si>
    <t xml:space="preserve">First tab</t>
  </si>
  <si>
    <t xml:space="preserve">ST01</t>
  </si>
  <si>
    <t xml:space="preserve">Mutation rate by study</t>
  </si>
  <si>
    <t xml:space="preserve">ST01 Mutation rate by study</t>
  </si>
  <si>
    <t xml:space="preserve">ST02</t>
  </si>
  <si>
    <t xml:space="preserve">Cohort heterogeneity (ED Fig 4 forests)</t>
  </si>
  <si>
    <t xml:space="preserve">ST02 (A) Variant-positive rate</t>
  </si>
  <si>
    <t xml:space="preserve">ST03</t>
  </si>
  <si>
    <t xml:space="preserve">Variant frequency and VAF</t>
  </si>
  <si>
    <t xml:space="preserve">ST03 (A) Variant frequency</t>
  </si>
  <si>
    <t xml:space="preserve">ST04</t>
  </si>
  <si>
    <t xml:space="preserve">Rupture Cox + phenotype x genotype x age-group interactions</t>
  </si>
  <si>
    <t xml:space="preserve">ST04 (A) Rupture Cox (angio-adj</t>
  </si>
  <si>
    <t xml:space="preserve">ST05</t>
  </si>
  <si>
    <t xml:space="preserve">VAF x age-at-rupture slope (per cohort)</t>
  </si>
  <si>
    <t xml:space="preserve">ST05 VAF × age-at-rupture slope</t>
  </si>
  <si>
    <t xml:space="preserve">ST06</t>
  </si>
  <si>
    <t xml:space="preserve">VAF x phenotype correlations (per cohort + age-adjusted)</t>
  </si>
  <si>
    <t xml:space="preserve">ST06 (A) Pooled variant-positiv</t>
  </si>
  <si>
    <t xml:space="preserve">ST07</t>
  </si>
  <si>
    <t xml:space="preserve">VAF x age sensitivity (outliers, dose-response, LOSO, trim, cohort)</t>
  </si>
  <si>
    <t xml:space="preserve">ST07 (A) Outlier sensitivity</t>
  </si>
  <si>
    <t xml:space="preserve">ST08</t>
  </si>
  <si>
    <t xml:space="preserve">Hierarchical genotype x phenotype (5 contrasts x 11 outcomes)</t>
  </si>
  <si>
    <t xml:space="preserve">ST08 (A) Variant-pos vs Neg</t>
  </si>
  <si>
    <t xml:space="preserve">ST09</t>
  </si>
  <si>
    <t xml:space="preserve">Location x genotype interaction tests</t>
  </si>
  <si>
    <t xml:space="preserve">ST09 Location × genotype intera</t>
  </si>
  <si>
    <t xml:space="preserve">ST10</t>
  </si>
  <si>
    <t xml:space="preserve">Coarse anatomical &amp; demographic comparisons</t>
  </si>
  <si>
    <t xml:space="preserve">ST10 Coarse anatomical &amp; demogr</t>
  </si>
  <si>
    <t xml:space="preserve">ST11</t>
  </si>
  <si>
    <t xml:space="preserve">Power audit + MDE (binary-null family)</t>
  </si>
  <si>
    <t xml:space="preserve">ST11 (A) Power audit</t>
  </si>
  <si>
    <t xml:space="preserve">ST12</t>
  </si>
  <si>
    <t xml:space="preserve">Parietal x KRAS x rupture logistic models</t>
  </si>
  <si>
    <t xml:space="preserve">ST12 (A) KRAS-Parietal (unadj)</t>
  </si>
  <si>
    <t xml:space="preserve">ST13</t>
  </si>
  <si>
    <t xml:space="preserve">High-risk feature OR forest</t>
  </si>
  <si>
    <t xml:space="preserve">ST13 High-risk feature OR</t>
  </si>
  <si>
    <t xml:space="preserve">ST14</t>
  </si>
  <si>
    <t xml:space="preserve">Rupture risk-score card (anchor + bootstrap)</t>
  </si>
  <si>
    <t xml:space="preserve">ST14 (A) Anchor model (Cox)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</si>
</sst>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4"/>
      <color rgb="FF000000"/>
      <name val="Calibri"/>
      <b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2" xfId="0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80.71" hidden="0" customWidth="1"/>
    <col min="3" max="3" width="10.71" hidden="0" customWidth="1"/>
    <col min="4" max="4" width="36.71" hidden="0" customWidth="1"/>
  </cols>
  <sheetData>
    <row r="1">
      <c r="A1" s="2" t="s">
        <v>1099</v>
      </c>
    </row>
    <row r="3">
      <c r="A3" s="3" t="s">
        <v>1100</v>
      </c>
      <c r="B3" s="3" t="s">
        <v>1101</v>
      </c>
      <c r="C3" s="3" t="s">
        <v>1102</v>
      </c>
      <c r="D3" s="3" t="s">
        <v>1103</v>
      </c>
    </row>
    <row r="4">
      <c r="A4" s="4" t="str">
        <f>HYPERLINK("#'ST01 Mutation rate by study'!A1", "ST01")</f>
      </c>
      <c r="B4" t="s">
        <v>1105</v>
      </c>
      <c r="C4" t="n">
        <v>1</v>
      </c>
      <c r="D4" t="s">
        <v>1106</v>
      </c>
    </row>
    <row r="5">
      <c r="A5" s="4" t="str">
        <f>HYPERLINK("#'ST02 (A) Variant-positive rate'!A1", "ST02")</f>
      </c>
      <c r="B5" t="s">
        <v>1108</v>
      </c>
      <c r="C5" t="n">
        <v>3</v>
      </c>
      <c r="D5" t="s">
        <v>1109</v>
      </c>
    </row>
    <row r="6">
      <c r="A6" s="4" t="str">
        <f>HYPERLINK("#'ST03 (A) Variant frequency'!A1", "ST03")</f>
      </c>
      <c r="B6" t="s">
        <v>1111</v>
      </c>
      <c r="C6" t="n">
        <v>2</v>
      </c>
      <c r="D6" t="s">
        <v>1112</v>
      </c>
    </row>
    <row r="7">
      <c r="A7" s="4" t="str">
        <f>HYPERLINK("#'ST04 (A) Rupture Cox (angio-adj'!A1", "ST04")</f>
      </c>
      <c r="B7" t="s">
        <v>1114</v>
      </c>
      <c r="C7" t="n">
        <v>3</v>
      </c>
      <c r="D7" t="s">
        <v>1115</v>
      </c>
    </row>
    <row r="8">
      <c r="A8" s="4" t="str">
        <f>HYPERLINK("#'ST05 VAF × age-at-rupture slope'!A1", "ST05")</f>
      </c>
      <c r="B8" t="s">
        <v>1117</v>
      </c>
      <c r="C8" t="n">
        <v>1</v>
      </c>
      <c r="D8" t="s">
        <v>1118</v>
      </c>
    </row>
    <row r="9">
      <c r="A9" s="4" t="str">
        <f>HYPERLINK("#'ST06 (A) Pooled variant-positiv'!A1", "ST06")</f>
      </c>
      <c r="B9" t="s">
        <v>1120</v>
      </c>
      <c r="C9" t="n">
        <v>5</v>
      </c>
      <c r="D9" t="s">
        <v>1121</v>
      </c>
    </row>
    <row r="10">
      <c r="A10" s="4" t="str">
        <f>HYPERLINK("#'ST07 (A) Outlier sensitivity'!A1", "ST07")</f>
      </c>
      <c r="B10" t="s">
        <v>1123</v>
      </c>
      <c r="C10" t="n">
        <v>6</v>
      </c>
      <c r="D10" t="s">
        <v>1124</v>
      </c>
    </row>
    <row r="11">
      <c r="A11" s="4" t="str">
        <f>HYPERLINK("#'ST08 (A) Variant-pos vs Neg'!A1", "ST08")</f>
      </c>
      <c r="B11" t="s">
        <v>1126</v>
      </c>
      <c r="C11" t="n">
        <v>5</v>
      </c>
      <c r="D11" t="s">
        <v>1127</v>
      </c>
    </row>
    <row r="12">
      <c r="A12" s="4" t="str">
        <f>HYPERLINK("#'ST09 Location × genotype intera'!A1", "ST09")</f>
      </c>
      <c r="B12" t="s">
        <v>1129</v>
      </c>
      <c r="C12" t="n">
        <v>1</v>
      </c>
      <c r="D12" t="s">
        <v>1130</v>
      </c>
    </row>
    <row r="13">
      <c r="A13" s="4" t="str">
        <f>HYPERLINK("#'ST10 Coarse anatomical &amp; demogr'!A1", "ST10")</f>
      </c>
      <c r="B13" t="s">
        <v>1132</v>
      </c>
      <c r="C13" t="n">
        <v>1</v>
      </c>
      <c r="D13" t="s">
        <v>1133</v>
      </c>
    </row>
    <row r="14">
      <c r="A14" s="4" t="str">
        <f>HYPERLINK("#'ST11 (A) Power audit'!A1", "ST11")</f>
      </c>
      <c r="B14" t="s">
        <v>1135</v>
      </c>
      <c r="C14" t="n">
        <v>2</v>
      </c>
      <c r="D14" t="s">
        <v>1136</v>
      </c>
    </row>
    <row r="15">
      <c r="A15" s="4" t="str">
        <f>HYPERLINK("#'ST12 (A) KRAS-Parietal (unadj)'!A1", "ST12")</f>
      </c>
      <c r="B15" t="s">
        <v>1138</v>
      </c>
      <c r="C15" t="n">
        <v>4</v>
      </c>
      <c r="D15" t="s">
        <v>1139</v>
      </c>
    </row>
    <row r="16">
      <c r="A16" s="4" t="str">
        <f>HYPERLINK("#'ST13 High-risk feature OR'!A1", "ST13")</f>
      </c>
      <c r="B16" t="s">
        <v>1141</v>
      </c>
      <c r="C16" t="n">
        <v>1</v>
      </c>
      <c r="D16" t="s">
        <v>1142</v>
      </c>
    </row>
    <row r="17">
      <c r="A17" s="4" t="str">
        <f>HYPERLINK("#'ST14 (A) Anchor model (Cox)'!A1", "ST14")</f>
      </c>
      <c r="B17" t="s">
        <v>1144</v>
      </c>
      <c r="C17" t="n">
        <v>2</v>
      </c>
      <c r="D17" t="s">
        <v>1145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9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20</v>
      </c>
      <c r="C7" t="s">
        <v>24</v>
      </c>
      <c r="D7" t="s">
        <v>25</v>
      </c>
    </row>
    <row r="8">
      <c r="A8" t="s">
        <v>26</v>
      </c>
      <c r="B8" t="s">
        <v>27</v>
      </c>
      <c r="C8" t="s">
        <v>28</v>
      </c>
      <c r="D8" t="s">
        <v>29</v>
      </c>
    </row>
    <row r="9">
      <c r="A9" t="s">
        <v>30</v>
      </c>
      <c r="B9" t="s">
        <v>31</v>
      </c>
      <c r="C9" t="s">
        <v>32</v>
      </c>
      <c r="D9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3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34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>
      <c r="A2" t="s">
        <v>19</v>
      </c>
      <c r="B2" t="s">
        <v>20</v>
      </c>
      <c r="C2" t="s">
        <v>21</v>
      </c>
      <c r="D2" t="s">
        <v>40</v>
      </c>
      <c r="E2" t="s">
        <v>41</v>
      </c>
      <c r="F2" t="s">
        <v>41</v>
      </c>
      <c r="G2" t="s">
        <v>41</v>
      </c>
    </row>
    <row r="3">
      <c r="A3" t="s">
        <v>30</v>
      </c>
      <c r="B3" t="s">
        <v>31</v>
      </c>
      <c r="C3" t="s">
        <v>32</v>
      </c>
      <c r="D3" t="s">
        <v>42</v>
      </c>
      <c r="E3" t="s">
        <v>41</v>
      </c>
      <c r="F3" t="s">
        <v>41</v>
      </c>
      <c r="G3" t="s">
        <v>41</v>
      </c>
    </row>
    <row r="4">
      <c r="A4" t="s">
        <v>8</v>
      </c>
      <c r="B4" t="s">
        <v>9</v>
      </c>
      <c r="C4" t="s">
        <v>10</v>
      </c>
      <c r="D4" t="s">
        <v>43</v>
      </c>
      <c r="E4" t="s">
        <v>41</v>
      </c>
      <c r="F4" t="s">
        <v>41</v>
      </c>
      <c r="G4" t="s">
        <v>41</v>
      </c>
    </row>
    <row r="5">
      <c r="A5" t="s">
        <v>16</v>
      </c>
      <c r="B5" t="s">
        <v>9</v>
      </c>
      <c r="C5" t="s">
        <v>17</v>
      </c>
      <c r="D5" t="s">
        <v>44</v>
      </c>
      <c r="E5" t="s">
        <v>41</v>
      </c>
      <c r="F5" t="s">
        <v>41</v>
      </c>
      <c r="G5" t="s">
        <v>41</v>
      </c>
    </row>
    <row r="6">
      <c r="A6" t="s">
        <v>23</v>
      </c>
      <c r="B6" t="s">
        <v>20</v>
      </c>
      <c r="C6" t="s">
        <v>24</v>
      </c>
      <c r="D6" t="s">
        <v>45</v>
      </c>
      <c r="E6" t="s">
        <v>41</v>
      </c>
      <c r="F6" t="s">
        <v>41</v>
      </c>
      <c r="G6" t="s">
        <v>41</v>
      </c>
    </row>
    <row r="7">
      <c r="A7" t="s">
        <v>26</v>
      </c>
      <c r="B7" t="s">
        <v>27</v>
      </c>
      <c r="C7" t="s">
        <v>28</v>
      </c>
      <c r="D7" t="s">
        <v>46</v>
      </c>
      <c r="E7" t="s">
        <v>41</v>
      </c>
      <c r="F7" t="s">
        <v>41</v>
      </c>
      <c r="G7" t="s">
        <v>41</v>
      </c>
    </row>
    <row r="8">
      <c r="A8" t="s">
        <v>12</v>
      </c>
      <c r="B8" t="s">
        <v>13</v>
      </c>
      <c r="C8" t="s">
        <v>14</v>
      </c>
      <c r="D8" t="s">
        <v>47</v>
      </c>
      <c r="E8" t="s">
        <v>41</v>
      </c>
      <c r="F8" t="s">
        <v>41</v>
      </c>
      <c r="G8" t="s">
        <v>41</v>
      </c>
    </row>
    <row r="9">
      <c r="A9" t="s">
        <v>4</v>
      </c>
      <c r="B9" t="s">
        <v>5</v>
      </c>
      <c r="C9" t="s">
        <v>6</v>
      </c>
      <c r="D9" t="s">
        <v>48</v>
      </c>
      <c r="E9" t="s">
        <v>41</v>
      </c>
      <c r="F9" t="s">
        <v>41</v>
      </c>
      <c r="G9" t="s">
        <v>41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3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34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>
      <c r="A2" t="s">
        <v>19</v>
      </c>
      <c r="B2" t="s">
        <v>20</v>
      </c>
      <c r="C2" t="s">
        <v>28</v>
      </c>
      <c r="D2" t="s">
        <v>56</v>
      </c>
      <c r="E2" t="s">
        <v>41</v>
      </c>
      <c r="F2" t="s">
        <v>41</v>
      </c>
      <c r="G2" t="s">
        <v>41</v>
      </c>
    </row>
    <row r="3">
      <c r="A3" t="s">
        <v>4</v>
      </c>
      <c r="B3" t="s">
        <v>13</v>
      </c>
      <c r="C3" t="s">
        <v>57</v>
      </c>
      <c r="D3" t="s">
        <v>58</v>
      </c>
      <c r="E3" t="s">
        <v>41</v>
      </c>
      <c r="F3" t="s">
        <v>41</v>
      </c>
      <c r="G3" t="s">
        <v>41</v>
      </c>
    </row>
    <row r="4">
      <c r="A4" t="s">
        <v>16</v>
      </c>
      <c r="B4" t="s">
        <v>9</v>
      </c>
      <c r="C4" t="s">
        <v>59</v>
      </c>
      <c r="D4" t="s">
        <v>60</v>
      </c>
      <c r="E4" t="s">
        <v>41</v>
      </c>
      <c r="F4" t="s">
        <v>41</v>
      </c>
      <c r="G4" t="s">
        <v>41</v>
      </c>
    </row>
    <row r="5">
      <c r="A5" t="s">
        <v>30</v>
      </c>
      <c r="B5" t="s">
        <v>31</v>
      </c>
      <c r="C5" t="s">
        <v>61</v>
      </c>
      <c r="D5" t="s">
        <v>62</v>
      </c>
      <c r="E5" t="s">
        <v>41</v>
      </c>
      <c r="F5" t="s">
        <v>41</v>
      </c>
      <c r="G5" t="s">
        <v>41</v>
      </c>
    </row>
    <row r="6">
      <c r="A6" t="s">
        <v>23</v>
      </c>
      <c r="B6" t="s">
        <v>20</v>
      </c>
      <c r="C6" t="s">
        <v>63</v>
      </c>
      <c r="D6" t="s">
        <v>64</v>
      </c>
      <c r="E6" t="s">
        <v>41</v>
      </c>
      <c r="F6" t="s">
        <v>41</v>
      </c>
      <c r="G6" t="s">
        <v>41</v>
      </c>
    </row>
    <row r="7">
      <c r="A7" t="s">
        <v>12</v>
      </c>
      <c r="B7" t="s">
        <v>65</v>
      </c>
      <c r="C7" t="s">
        <v>66</v>
      </c>
      <c r="D7" t="s">
        <v>67</v>
      </c>
      <c r="E7" t="s">
        <v>41</v>
      </c>
      <c r="F7" t="s">
        <v>41</v>
      </c>
      <c r="G7" t="s">
        <v>41</v>
      </c>
    </row>
    <row r="8">
      <c r="A8" t="s">
        <v>8</v>
      </c>
      <c r="B8" t="s">
        <v>66</v>
      </c>
      <c r="C8" t="s">
        <v>68</v>
      </c>
      <c r="D8" t="s">
        <v>69</v>
      </c>
      <c r="E8" t="s">
        <v>41</v>
      </c>
      <c r="F8" t="s">
        <v>41</v>
      </c>
      <c r="G8" t="s">
        <v>41</v>
      </c>
    </row>
    <row r="9">
      <c r="A9" t="s">
        <v>49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21.71" hidden="0" customWidth="1"/>
    <col min="4" max="4" width="12.71" hidden="0" customWidth="1"/>
    <col min="5" max="5" width="11.71" hidden="0" customWidth="1"/>
    <col min="6" max="6" width="11.71" hidden="0" customWidth="1"/>
  </cols>
  <sheetData>
    <row r="1">
      <c r="A1" s="1" t="s">
        <v>34</v>
      </c>
      <c r="B1" s="1" t="s">
        <v>1</v>
      </c>
      <c r="C1" s="1" t="s">
        <v>76</v>
      </c>
      <c r="D1" s="1" t="s">
        <v>37</v>
      </c>
      <c r="E1" s="1" t="s">
        <v>38</v>
      </c>
      <c r="F1" s="1" t="s">
        <v>39</v>
      </c>
    </row>
    <row r="2">
      <c r="A2" t="s">
        <v>12</v>
      </c>
      <c r="B2" t="s">
        <v>77</v>
      </c>
      <c r="C2" t="s">
        <v>78</v>
      </c>
      <c r="D2" t="s">
        <v>41</v>
      </c>
      <c r="E2" t="s">
        <v>41</v>
      </c>
      <c r="F2" t="s">
        <v>41</v>
      </c>
    </row>
    <row r="3">
      <c r="A3" t="s">
        <v>4</v>
      </c>
      <c r="B3" t="s">
        <v>13</v>
      </c>
      <c r="C3" t="s">
        <v>79</v>
      </c>
      <c r="D3" t="s">
        <v>41</v>
      </c>
      <c r="E3" t="s">
        <v>41</v>
      </c>
      <c r="F3" t="s">
        <v>41</v>
      </c>
    </row>
    <row r="4">
      <c r="A4" t="s">
        <v>26</v>
      </c>
      <c r="B4" t="s">
        <v>27</v>
      </c>
      <c r="C4" t="s">
        <v>80</v>
      </c>
      <c r="D4" t="s">
        <v>41</v>
      </c>
      <c r="E4" t="s">
        <v>41</v>
      </c>
      <c r="F4" t="s">
        <v>41</v>
      </c>
    </row>
    <row r="5">
      <c r="A5" t="s">
        <v>23</v>
      </c>
      <c r="B5" t="s">
        <v>20</v>
      </c>
      <c r="C5" t="s">
        <v>81</v>
      </c>
      <c r="D5" t="s">
        <v>41</v>
      </c>
      <c r="E5" t="s">
        <v>41</v>
      </c>
      <c r="F5" t="s">
        <v>41</v>
      </c>
    </row>
    <row r="6">
      <c r="A6" t="s">
        <v>19</v>
      </c>
      <c r="B6" t="s">
        <v>20</v>
      </c>
      <c r="C6" t="s">
        <v>82</v>
      </c>
      <c r="D6" t="s">
        <v>41</v>
      </c>
      <c r="E6" t="s">
        <v>41</v>
      </c>
      <c r="F6" t="s">
        <v>41</v>
      </c>
    </row>
    <row r="7">
      <c r="A7" t="s">
        <v>8</v>
      </c>
      <c r="B7" t="s">
        <v>66</v>
      </c>
      <c r="C7" t="s">
        <v>83</v>
      </c>
      <c r="D7" t="s">
        <v>41</v>
      </c>
      <c r="E7" t="s">
        <v>41</v>
      </c>
      <c r="F7" t="s">
        <v>41</v>
      </c>
    </row>
    <row r="8">
      <c r="A8" t="s">
        <v>30</v>
      </c>
      <c r="B8" t="s">
        <v>31</v>
      </c>
      <c r="C8" t="s">
        <v>84</v>
      </c>
      <c r="D8" t="s">
        <v>41</v>
      </c>
      <c r="E8" t="s">
        <v>41</v>
      </c>
      <c r="F8" t="s">
        <v>41</v>
      </c>
    </row>
    <row r="9">
      <c r="A9" t="s">
        <v>16</v>
      </c>
      <c r="B9" t="s">
        <v>9</v>
      </c>
      <c r="C9" t="s">
        <v>85</v>
      </c>
      <c r="D9" t="s">
        <v>41</v>
      </c>
      <c r="E9" t="s">
        <v>41</v>
      </c>
      <c r="F9" t="s">
        <v>41</v>
      </c>
    </row>
    <row r="10">
      <c r="A10" t="s">
        <v>49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4.71" hidden="0" customWidth="1"/>
  </cols>
  <sheetData>
    <row r="1">
      <c r="A1" s="1" t="s">
        <v>91</v>
      </c>
      <c r="B1" s="1" t="s">
        <v>92</v>
      </c>
      <c r="C1" s="1" t="s">
        <v>93</v>
      </c>
    </row>
    <row r="2">
      <c r="A2" t="s">
        <v>94</v>
      </c>
      <c r="B2" t="s">
        <v>95</v>
      </c>
      <c r="C2" t="s">
        <v>96</v>
      </c>
    </row>
    <row r="3">
      <c r="A3" t="s">
        <v>97</v>
      </c>
      <c r="B3" t="s">
        <v>98</v>
      </c>
      <c r="C3" t="s">
        <v>99</v>
      </c>
    </row>
    <row r="4">
      <c r="A4" t="s">
        <v>100</v>
      </c>
      <c r="B4" t="s">
        <v>101</v>
      </c>
      <c r="C4" t="s">
        <v>102</v>
      </c>
    </row>
    <row r="5">
      <c r="A5" t="s">
        <v>103</v>
      </c>
      <c r="B5" t="s">
        <v>27</v>
      </c>
      <c r="C5" t="s">
        <v>104</v>
      </c>
    </row>
    <row r="6">
      <c r="A6" t="s">
        <v>105</v>
      </c>
      <c r="B6" t="s">
        <v>106</v>
      </c>
      <c r="C6" t="s">
        <v>107</v>
      </c>
    </row>
    <row r="7">
      <c r="A7" t="s">
        <v>108</v>
      </c>
      <c r="B7" t="s">
        <v>109</v>
      </c>
      <c r="C7" t="s">
        <v>110</v>
      </c>
    </row>
    <row r="8">
      <c r="A8" t="s">
        <v>111</v>
      </c>
      <c r="B8" t="s">
        <v>109</v>
      </c>
      <c r="C8" t="s">
        <v>110</v>
      </c>
    </row>
    <row r="9">
      <c r="A9" t="s">
        <v>112</v>
      </c>
      <c r="B9" t="s">
        <v>109</v>
      </c>
      <c r="C9" t="s">
        <v>110</v>
      </c>
    </row>
    <row r="10">
      <c r="A10" t="s">
        <v>113</v>
      </c>
      <c r="B10" t="s">
        <v>109</v>
      </c>
      <c r="C10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9.71" hidden="0" customWidth="1"/>
    <col min="3" max="3" width="17.71" hidden="0" customWidth="1"/>
    <col min="4" max="4" width="20.71" hidden="0" customWidth="1"/>
  </cols>
  <sheetData>
    <row r="1">
      <c r="A1" s="1" t="s">
        <v>91</v>
      </c>
      <c r="B1" s="1" t="s">
        <v>114</v>
      </c>
      <c r="C1" s="1" t="s">
        <v>115</v>
      </c>
      <c r="D1" s="1" t="s">
        <v>116</v>
      </c>
    </row>
    <row r="2">
      <c r="A2" t="s">
        <v>94</v>
      </c>
      <c r="B2" t="s">
        <v>95</v>
      </c>
      <c r="C2" t="s">
        <v>117</v>
      </c>
      <c r="D2" t="s">
        <v>118</v>
      </c>
    </row>
    <row r="3">
      <c r="A3" t="s">
        <v>100</v>
      </c>
      <c r="B3" t="s">
        <v>31</v>
      </c>
      <c r="C3" t="s">
        <v>119</v>
      </c>
      <c r="D3" t="s">
        <v>120</v>
      </c>
    </row>
    <row r="4">
      <c r="A4" t="s">
        <v>103</v>
      </c>
      <c r="B4" t="s">
        <v>121</v>
      </c>
      <c r="C4" t="s">
        <v>122</v>
      </c>
      <c r="D4" t="s">
        <v>123</v>
      </c>
    </row>
    <row r="5">
      <c r="A5" t="s">
        <v>105</v>
      </c>
      <c r="B5" t="s">
        <v>106</v>
      </c>
      <c r="C5" t="s">
        <v>124</v>
      </c>
      <c r="D5" t="s">
        <v>125</v>
      </c>
    </row>
    <row r="6">
      <c r="A6" t="s">
        <v>108</v>
      </c>
      <c r="B6" t="s">
        <v>109</v>
      </c>
      <c r="C6" t="s">
        <v>126</v>
      </c>
      <c r="D6" t="s">
        <v>127</v>
      </c>
    </row>
    <row r="7">
      <c r="A7" t="s">
        <v>111</v>
      </c>
      <c r="B7" t="s">
        <v>109</v>
      </c>
      <c r="C7" t="s">
        <v>128</v>
      </c>
      <c r="D7" t="s">
        <v>127</v>
      </c>
    </row>
    <row r="8">
      <c r="A8" t="s">
        <v>112</v>
      </c>
      <c r="B8" t="s">
        <v>109</v>
      </c>
      <c r="C8" t="s">
        <v>129</v>
      </c>
      <c r="D8" t="s">
        <v>127</v>
      </c>
    </row>
    <row r="9">
      <c r="A9" t="s">
        <v>113</v>
      </c>
      <c r="B9" t="s">
        <v>109</v>
      </c>
      <c r="C9" t="s">
        <v>130</v>
      </c>
      <c r="D9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1.71" hidden="0" customWidth="1"/>
    <col min="4" max="4" width="15.71" hidden="0" customWidth="1"/>
    <col min="5" max="5" width="11.71" hidden="0" customWidth="1"/>
    <col min="6" max="6" width="11.71" hidden="0" customWidth="1"/>
  </cols>
  <sheetData>
    <row r="1">
      <c r="A1" s="1" t="s">
        <v>131</v>
      </c>
      <c r="B1" s="1" t="s">
        <v>1</v>
      </c>
      <c r="C1" s="1" t="s">
        <v>132</v>
      </c>
      <c r="D1" s="1" t="s">
        <v>133</v>
      </c>
      <c r="E1" s="1" t="s">
        <v>134</v>
      </c>
      <c r="F1" s="1" t="s">
        <v>135</v>
      </c>
    </row>
    <row r="2">
      <c r="A2" t="s">
        <v>136</v>
      </c>
      <c r="B2" t="s">
        <v>137</v>
      </c>
      <c r="C2" t="s">
        <v>138</v>
      </c>
      <c r="D2" t="s">
        <v>139</v>
      </c>
      <c r="E2" t="s">
        <v>140</v>
      </c>
      <c r="F2" t="s">
        <v>141</v>
      </c>
    </row>
    <row r="3">
      <c r="A3" t="s">
        <v>142</v>
      </c>
      <c r="B3" t="s">
        <v>137</v>
      </c>
      <c r="C3" t="s">
        <v>143</v>
      </c>
      <c r="D3" t="s">
        <v>144</v>
      </c>
      <c r="E3" t="s">
        <v>145</v>
      </c>
      <c r="F3" t="s">
        <v>141</v>
      </c>
    </row>
    <row r="4">
      <c r="A4" t="s">
        <v>146</v>
      </c>
      <c r="B4" t="s">
        <v>137</v>
      </c>
      <c r="C4" t="s">
        <v>147</v>
      </c>
      <c r="D4" t="s">
        <v>148</v>
      </c>
      <c r="E4" t="s">
        <v>149</v>
      </c>
      <c r="F4" t="s">
        <v>141</v>
      </c>
    </row>
    <row r="5">
      <c r="A5" t="s">
        <v>150</v>
      </c>
      <c r="B5" t="s">
        <v>137</v>
      </c>
      <c r="C5" t="s">
        <v>151</v>
      </c>
      <c r="D5" t="s">
        <v>152</v>
      </c>
      <c r="E5" t="s">
        <v>153</v>
      </c>
      <c r="F5" t="s">
        <v>154</v>
      </c>
    </row>
    <row r="6">
      <c r="A6" t="s">
        <v>155</v>
      </c>
      <c r="B6" t="s">
        <v>137</v>
      </c>
      <c r="C6" t="s">
        <v>156</v>
      </c>
      <c r="D6" t="s">
        <v>157</v>
      </c>
      <c r="E6" t="s">
        <v>158</v>
      </c>
      <c r="F6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1.71" hidden="0" customWidth="1"/>
    <col min="3" max="3" width="11.71" hidden="0" customWidth="1"/>
    <col min="4" max="4" width="18.71" hidden="0" customWidth="1"/>
    <col min="5" max="5" width="11.71" hidden="0" customWidth="1"/>
    <col min="6" max="6" width="11.71" hidden="0" customWidth="1"/>
  </cols>
  <sheetData>
    <row r="1">
      <c r="A1" s="1" t="s">
        <v>159</v>
      </c>
      <c r="B1" s="1" t="s">
        <v>1</v>
      </c>
      <c r="C1" s="1" t="s">
        <v>160</v>
      </c>
      <c r="D1" s="1" t="s">
        <v>133</v>
      </c>
      <c r="E1" s="1" t="s">
        <v>134</v>
      </c>
      <c r="F1" s="1" t="s">
        <v>161</v>
      </c>
    </row>
    <row r="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166</v>
      </c>
    </row>
    <row r="3">
      <c r="A3" t="s">
        <v>150</v>
      </c>
      <c r="B3" t="s">
        <v>167</v>
      </c>
      <c r="C3" t="s">
        <v>168</v>
      </c>
      <c r="D3" t="s">
        <v>169</v>
      </c>
      <c r="E3" t="s">
        <v>170</v>
      </c>
      <c r="F3" t="s">
        <v>166</v>
      </c>
    </row>
    <row r="4">
      <c r="A4" t="s">
        <v>171</v>
      </c>
      <c r="B4" t="s">
        <v>70</v>
      </c>
      <c r="C4" t="s">
        <v>172</v>
      </c>
      <c r="D4" t="s">
        <v>173</v>
      </c>
      <c r="E4" t="s">
        <v>174</v>
      </c>
      <c r="F4" t="s">
        <v>166</v>
      </c>
    </row>
    <row r="5">
      <c r="A5" t="s">
        <v>155</v>
      </c>
      <c r="B5" t="s">
        <v>175</v>
      </c>
      <c r="C5" t="s">
        <v>176</v>
      </c>
      <c r="D5" t="s">
        <v>177</v>
      </c>
      <c r="E5" t="s">
        <v>178</v>
      </c>
      <c r="F5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1.71" hidden="0" customWidth="1"/>
    <col min="3" max="3" width="11.71" hidden="0" customWidth="1"/>
    <col min="4" max="4" width="19.71" hidden="0" customWidth="1"/>
    <col min="5" max="5" width="11.71" hidden="0" customWidth="1"/>
    <col min="6" max="6" width="11.71" hidden="0" customWidth="1"/>
  </cols>
  <sheetData>
    <row r="1">
      <c r="A1" s="1" t="s">
        <v>159</v>
      </c>
      <c r="B1" s="1" t="s">
        <v>1</v>
      </c>
      <c r="C1" s="1" t="s">
        <v>160</v>
      </c>
      <c r="D1" s="1" t="s">
        <v>133</v>
      </c>
      <c r="E1" s="1" t="s">
        <v>134</v>
      </c>
      <c r="F1" s="1" t="s">
        <v>161</v>
      </c>
    </row>
    <row r="2">
      <c r="A2" t="s">
        <v>162</v>
      </c>
      <c r="B2" t="s">
        <v>163</v>
      </c>
      <c r="C2" t="s">
        <v>180</v>
      </c>
      <c r="D2" t="s">
        <v>181</v>
      </c>
      <c r="E2" t="s">
        <v>182</v>
      </c>
      <c r="F2" t="s">
        <v>183</v>
      </c>
    </row>
    <row r="3">
      <c r="A3" t="s">
        <v>150</v>
      </c>
      <c r="B3" t="s">
        <v>167</v>
      </c>
      <c r="C3" t="s">
        <v>184</v>
      </c>
      <c r="D3" t="s">
        <v>185</v>
      </c>
      <c r="E3" t="s">
        <v>183</v>
      </c>
      <c r="F3" t="s">
        <v>183</v>
      </c>
    </row>
    <row r="4">
      <c r="A4" t="s">
        <v>171</v>
      </c>
      <c r="B4" t="s">
        <v>70</v>
      </c>
      <c r="C4" t="s">
        <v>186</v>
      </c>
      <c r="D4" t="s">
        <v>187</v>
      </c>
      <c r="E4" t="s">
        <v>188</v>
      </c>
      <c r="F4" t="s">
        <v>183</v>
      </c>
    </row>
    <row r="5">
      <c r="A5" t="s">
        <v>155</v>
      </c>
      <c r="B5" t="s">
        <v>175</v>
      </c>
      <c r="C5" t="s">
        <v>189</v>
      </c>
      <c r="D5" t="s">
        <v>190</v>
      </c>
      <c r="E5" t="s">
        <v>191</v>
      </c>
      <c r="F5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1.71" hidden="0" customWidth="1"/>
    <col min="3" max="3" width="35.71" hidden="0" customWidth="1"/>
    <col min="4" max="4" width="12.71" hidden="0" customWidth="1"/>
    <col min="5" max="5" width="13.71" hidden="0" customWidth="1"/>
    <col min="6" max="6" width="15.71" hidden="0" customWidth="1"/>
  </cols>
  <sheetData>
    <row r="1">
      <c r="A1" s="1" t="s">
        <v>192</v>
      </c>
      <c r="B1" s="1" t="s">
        <v>1</v>
      </c>
      <c r="C1" s="1" t="s">
        <v>193</v>
      </c>
      <c r="D1" s="1" t="s">
        <v>194</v>
      </c>
      <c r="E1" s="1" t="s">
        <v>195</v>
      </c>
      <c r="F1" s="1" t="s">
        <v>196</v>
      </c>
    </row>
    <row r="2">
      <c r="A2" t="s">
        <v>197</v>
      </c>
      <c r="B2" t="s">
        <v>198</v>
      </c>
      <c r="C2" t="s">
        <v>199</v>
      </c>
      <c r="D2" t="s">
        <v>200</v>
      </c>
      <c r="E2" t="s">
        <v>201</v>
      </c>
      <c r="F2" t="s">
        <v>202</v>
      </c>
    </row>
    <row r="3">
      <c r="A3" t="s">
        <v>94</v>
      </c>
      <c r="B3" t="s">
        <v>203</v>
      </c>
      <c r="C3" t="s">
        <v>204</v>
      </c>
      <c r="D3" t="s">
        <v>205</v>
      </c>
      <c r="E3" t="s">
        <v>206</v>
      </c>
      <c r="F3" t="s">
        <v>207</v>
      </c>
    </row>
    <row r="4">
      <c r="A4" t="s">
        <v>100</v>
      </c>
      <c r="B4" t="s">
        <v>208</v>
      </c>
      <c r="C4" t="s">
        <v>209</v>
      </c>
      <c r="D4" t="s">
        <v>210</v>
      </c>
      <c r="E4" t="s">
        <v>211</v>
      </c>
      <c r="F4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1.71" hidden="0" customWidth="1"/>
    <col min="3" max="3" width="3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159</v>
      </c>
      <c r="B1" s="1" t="s">
        <v>1</v>
      </c>
      <c r="C1" s="1" t="s">
        <v>213</v>
      </c>
      <c r="D1" s="1" t="s">
        <v>214</v>
      </c>
      <c r="E1" s="1" t="s">
        <v>134</v>
      </c>
      <c r="F1" s="1" t="s">
        <v>161</v>
      </c>
    </row>
    <row r="2">
      <c r="A2" t="s">
        <v>215</v>
      </c>
      <c r="B2" t="s">
        <v>216</v>
      </c>
      <c r="C2" t="s">
        <v>195</v>
      </c>
      <c r="D2" t="s">
        <v>217</v>
      </c>
      <c r="E2" t="s">
        <v>218</v>
      </c>
      <c r="F2" t="s">
        <v>219</v>
      </c>
    </row>
    <row r="3">
      <c r="A3" t="s">
        <v>162</v>
      </c>
      <c r="B3" t="s">
        <v>220</v>
      </c>
      <c r="C3" t="s">
        <v>195</v>
      </c>
      <c r="D3" t="s">
        <v>221</v>
      </c>
      <c r="E3" t="s">
        <v>222</v>
      </c>
      <c r="F3" t="s">
        <v>219</v>
      </c>
    </row>
    <row r="4">
      <c r="A4" t="s">
        <v>150</v>
      </c>
      <c r="B4" t="s">
        <v>223</v>
      </c>
      <c r="C4" t="s">
        <v>224</v>
      </c>
      <c r="D4" t="s">
        <v>225</v>
      </c>
      <c r="E4" t="s">
        <v>226</v>
      </c>
      <c r="F4" t="s">
        <v>219</v>
      </c>
    </row>
    <row r="5">
      <c r="A5" t="s">
        <v>227</v>
      </c>
      <c r="B5" t="s">
        <v>216</v>
      </c>
      <c r="C5" t="s">
        <v>224</v>
      </c>
      <c r="D5" t="s">
        <v>228</v>
      </c>
      <c r="E5" t="s">
        <v>219</v>
      </c>
      <c r="F5" t="s">
        <v>219</v>
      </c>
    </row>
    <row r="6">
      <c r="A6" t="s">
        <v>229</v>
      </c>
      <c r="B6" t="s">
        <v>230</v>
      </c>
      <c r="C6" t="s">
        <v>224</v>
      </c>
      <c r="D6" t="s">
        <v>231</v>
      </c>
      <c r="E6" t="s">
        <v>232</v>
      </c>
      <c r="F6" t="s">
        <v>219</v>
      </c>
    </row>
    <row r="7">
      <c r="A7" t="s">
        <v>155</v>
      </c>
      <c r="B7" t="s">
        <v>233</v>
      </c>
      <c r="C7" t="s">
        <v>195</v>
      </c>
      <c r="D7" t="s">
        <v>234</v>
      </c>
      <c r="E7" t="s">
        <v>235</v>
      </c>
      <c r="F7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1.71" hidden="0" customWidth="1"/>
    <col min="3" max="3" width="3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159</v>
      </c>
      <c r="B1" s="1" t="s">
        <v>1</v>
      </c>
      <c r="C1" s="1" t="s">
        <v>213</v>
      </c>
      <c r="D1" s="1" t="s">
        <v>214</v>
      </c>
      <c r="E1" s="1" t="s">
        <v>134</v>
      </c>
      <c r="F1" s="1" t="s">
        <v>161</v>
      </c>
    </row>
    <row r="2">
      <c r="A2" t="s">
        <v>215</v>
      </c>
      <c r="B2" t="s">
        <v>236</v>
      </c>
      <c r="C2" t="s">
        <v>195</v>
      </c>
      <c r="D2" t="s">
        <v>237</v>
      </c>
      <c r="E2" t="s">
        <v>238</v>
      </c>
      <c r="F2" t="s">
        <v>238</v>
      </c>
    </row>
    <row r="3">
      <c r="A3" t="s">
        <v>162</v>
      </c>
      <c r="B3" t="s">
        <v>239</v>
      </c>
      <c r="C3" t="s">
        <v>195</v>
      </c>
      <c r="D3" t="s">
        <v>240</v>
      </c>
      <c r="E3" t="s">
        <v>241</v>
      </c>
      <c r="F3" t="s">
        <v>238</v>
      </c>
    </row>
    <row r="4">
      <c r="A4" t="s">
        <v>150</v>
      </c>
      <c r="B4" t="s">
        <v>242</v>
      </c>
      <c r="C4" t="s">
        <v>224</v>
      </c>
      <c r="D4" t="s">
        <v>243</v>
      </c>
      <c r="E4" t="s">
        <v>244</v>
      </c>
      <c r="F4" t="s">
        <v>238</v>
      </c>
    </row>
    <row r="5">
      <c r="A5" t="s">
        <v>227</v>
      </c>
      <c r="B5" t="s">
        <v>236</v>
      </c>
      <c r="C5" t="s">
        <v>224</v>
      </c>
      <c r="D5" t="s">
        <v>245</v>
      </c>
      <c r="E5" t="s">
        <v>149</v>
      </c>
      <c r="F5" t="s">
        <v>238</v>
      </c>
    </row>
    <row r="6">
      <c r="A6" t="s">
        <v>229</v>
      </c>
      <c r="B6" t="s">
        <v>246</v>
      </c>
      <c r="C6" t="s">
        <v>224</v>
      </c>
      <c r="D6" t="s">
        <v>247</v>
      </c>
      <c r="E6" t="s">
        <v>248</v>
      </c>
      <c r="F6" t="s">
        <v>249</v>
      </c>
    </row>
    <row r="7">
      <c r="A7" t="s">
        <v>155</v>
      </c>
      <c r="B7" t="s">
        <v>250</v>
      </c>
      <c r="C7" t="s">
        <v>195</v>
      </c>
      <c r="D7" t="s">
        <v>251</v>
      </c>
      <c r="E7" t="s">
        <v>252</v>
      </c>
      <c r="F7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1.71" hidden="0" customWidth="1"/>
    <col min="3" max="3" width="3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159</v>
      </c>
      <c r="B1" s="1" t="s">
        <v>1</v>
      </c>
      <c r="C1" s="1" t="s">
        <v>213</v>
      </c>
      <c r="D1" s="1" t="s">
        <v>214</v>
      </c>
      <c r="E1" s="1" t="s">
        <v>134</v>
      </c>
      <c r="F1" s="1" t="s">
        <v>161</v>
      </c>
    </row>
    <row r="2">
      <c r="A2" t="s">
        <v>215</v>
      </c>
      <c r="B2" t="s">
        <v>253</v>
      </c>
      <c r="C2" t="s">
        <v>195</v>
      </c>
      <c r="D2" t="s">
        <v>254</v>
      </c>
      <c r="E2" t="s">
        <v>255</v>
      </c>
      <c r="F2" t="s">
        <v>256</v>
      </c>
    </row>
    <row r="3">
      <c r="A3" t="s">
        <v>162</v>
      </c>
      <c r="B3" t="s">
        <v>68</v>
      </c>
      <c r="C3" t="s">
        <v>195</v>
      </c>
      <c r="D3" t="s">
        <v>257</v>
      </c>
      <c r="E3" t="s">
        <v>258</v>
      </c>
      <c r="F3" t="s">
        <v>256</v>
      </c>
    </row>
    <row r="4">
      <c r="A4" t="s">
        <v>150</v>
      </c>
      <c r="B4" t="s">
        <v>259</v>
      </c>
      <c r="C4" t="s">
        <v>224</v>
      </c>
      <c r="D4" t="s">
        <v>260</v>
      </c>
      <c r="E4" t="s">
        <v>261</v>
      </c>
      <c r="F4" t="s">
        <v>262</v>
      </c>
    </row>
    <row r="5">
      <c r="A5" t="s">
        <v>227</v>
      </c>
      <c r="B5" t="s">
        <v>253</v>
      </c>
      <c r="C5" t="s">
        <v>224</v>
      </c>
      <c r="D5" t="s">
        <v>263</v>
      </c>
      <c r="E5" t="s">
        <v>264</v>
      </c>
      <c r="F5" t="s">
        <v>265</v>
      </c>
    </row>
    <row r="6">
      <c r="A6" t="s">
        <v>229</v>
      </c>
      <c r="B6" t="s">
        <v>266</v>
      </c>
      <c r="C6" t="s">
        <v>224</v>
      </c>
      <c r="D6" t="s">
        <v>267</v>
      </c>
      <c r="E6" t="s">
        <v>268</v>
      </c>
      <c r="F6" t="s">
        <v>256</v>
      </c>
    </row>
    <row r="7">
      <c r="A7" t="s">
        <v>155</v>
      </c>
      <c r="B7" t="s">
        <v>269</v>
      </c>
      <c r="C7" t="s">
        <v>195</v>
      </c>
      <c r="D7" t="s">
        <v>270</v>
      </c>
      <c r="E7" t="s">
        <v>271</v>
      </c>
      <c r="F7" t="s">
        <v>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1.71" hidden="0" customWidth="1"/>
    <col min="3" max="3" width="3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159</v>
      </c>
      <c r="B1" s="1" t="s">
        <v>1</v>
      </c>
      <c r="C1" s="1" t="s">
        <v>213</v>
      </c>
      <c r="D1" s="1" t="s">
        <v>214</v>
      </c>
      <c r="E1" s="1" t="s">
        <v>134</v>
      </c>
      <c r="F1" s="1" t="s">
        <v>161</v>
      </c>
    </row>
    <row r="2">
      <c r="A2" t="s">
        <v>215</v>
      </c>
      <c r="B2" t="s">
        <v>272</v>
      </c>
      <c r="C2" t="s">
        <v>195</v>
      </c>
      <c r="D2" t="s">
        <v>273</v>
      </c>
      <c r="E2" t="s">
        <v>248</v>
      </c>
      <c r="F2" t="s">
        <v>274</v>
      </c>
    </row>
    <row r="3">
      <c r="A3" t="s">
        <v>162</v>
      </c>
      <c r="B3" t="s">
        <v>275</v>
      </c>
      <c r="C3" t="s">
        <v>195</v>
      </c>
      <c r="D3" t="s">
        <v>276</v>
      </c>
      <c r="E3" t="s">
        <v>277</v>
      </c>
      <c r="F3" t="s">
        <v>278</v>
      </c>
    </row>
    <row r="4">
      <c r="A4" t="s">
        <v>150</v>
      </c>
      <c r="B4" t="s">
        <v>279</v>
      </c>
      <c r="C4" t="s">
        <v>224</v>
      </c>
      <c r="D4" t="s">
        <v>280</v>
      </c>
      <c r="E4" t="s">
        <v>281</v>
      </c>
      <c r="F4" t="s">
        <v>282</v>
      </c>
    </row>
    <row r="5">
      <c r="A5" t="s">
        <v>227</v>
      </c>
      <c r="B5" t="s">
        <v>272</v>
      </c>
      <c r="C5" t="s">
        <v>224</v>
      </c>
      <c r="D5" t="s">
        <v>283</v>
      </c>
      <c r="E5" t="s">
        <v>284</v>
      </c>
      <c r="F5" t="s">
        <v>284</v>
      </c>
    </row>
    <row r="6">
      <c r="A6" t="s">
        <v>229</v>
      </c>
      <c r="B6" t="s">
        <v>279</v>
      </c>
      <c r="C6" t="s">
        <v>224</v>
      </c>
      <c r="D6" t="s">
        <v>285</v>
      </c>
      <c r="E6" t="s">
        <v>286</v>
      </c>
      <c r="F6" t="s">
        <v>282</v>
      </c>
    </row>
    <row r="7">
      <c r="A7" t="s">
        <v>155</v>
      </c>
      <c r="B7" t="s">
        <v>272</v>
      </c>
      <c r="C7" t="s">
        <v>195</v>
      </c>
      <c r="D7" t="s">
        <v>287</v>
      </c>
      <c r="E7" t="s">
        <v>288</v>
      </c>
      <c r="F7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1.71" hidden="0" customWidth="1"/>
    <col min="3" max="3" width="34.71" hidden="0" customWidth="1"/>
    <col min="4" max="4" width="11.71" hidden="0" customWidth="1"/>
    <col min="5" max="5" width="19.71" hidden="0" customWidth="1"/>
    <col min="6" max="6" width="11.71" hidden="0" customWidth="1"/>
    <col min="7" max="7" width="12.71" hidden="0" customWidth="1"/>
  </cols>
  <sheetData>
    <row r="1">
      <c r="A1" s="1" t="s">
        <v>159</v>
      </c>
      <c r="B1" s="1" t="s">
        <v>1</v>
      </c>
      <c r="C1" s="1" t="s">
        <v>213</v>
      </c>
      <c r="D1" s="1" t="s">
        <v>160</v>
      </c>
      <c r="E1" s="1" t="s">
        <v>133</v>
      </c>
      <c r="F1" s="1" t="s">
        <v>134</v>
      </c>
      <c r="G1" s="1" t="s">
        <v>290</v>
      </c>
    </row>
    <row r="2">
      <c r="A2" t="s">
        <v>291</v>
      </c>
      <c r="B2" t="s">
        <v>292</v>
      </c>
      <c r="C2" t="s">
        <v>293</v>
      </c>
      <c r="D2" t="s">
        <v>294</v>
      </c>
      <c r="E2" t="s">
        <v>295</v>
      </c>
      <c r="F2" t="s">
        <v>296</v>
      </c>
      <c r="G2" t="s">
        <v>41</v>
      </c>
    </row>
    <row r="3">
      <c r="A3" t="s">
        <v>291</v>
      </c>
      <c r="B3" t="s">
        <v>292</v>
      </c>
      <c r="C3" t="s">
        <v>297</v>
      </c>
      <c r="D3" t="s">
        <v>294</v>
      </c>
      <c r="E3" t="s">
        <v>295</v>
      </c>
      <c r="F3" t="s">
        <v>296</v>
      </c>
      <c r="G3" t="s">
        <v>298</v>
      </c>
    </row>
    <row r="4">
      <c r="A4" t="s">
        <v>162</v>
      </c>
      <c r="B4" t="s">
        <v>220</v>
      </c>
      <c r="C4" t="s">
        <v>293</v>
      </c>
      <c r="D4" t="s">
        <v>299</v>
      </c>
      <c r="E4" t="s">
        <v>300</v>
      </c>
      <c r="F4" t="s">
        <v>301</v>
      </c>
      <c r="G4" t="s">
        <v>41</v>
      </c>
    </row>
    <row r="5">
      <c r="A5" t="s">
        <v>162</v>
      </c>
      <c r="B5" t="s">
        <v>220</v>
      </c>
      <c r="C5" t="s">
        <v>297</v>
      </c>
      <c r="D5" t="s">
        <v>299</v>
      </c>
      <c r="E5" t="s">
        <v>302</v>
      </c>
      <c r="F5" t="s">
        <v>303</v>
      </c>
      <c r="G5" t="s">
        <v>298</v>
      </c>
    </row>
    <row r="6">
      <c r="A6" t="s">
        <v>215</v>
      </c>
      <c r="B6" t="s">
        <v>216</v>
      </c>
      <c r="C6" t="s">
        <v>293</v>
      </c>
      <c r="D6" t="s">
        <v>304</v>
      </c>
      <c r="E6" t="s">
        <v>305</v>
      </c>
      <c r="F6" t="s">
        <v>306</v>
      </c>
      <c r="G6" t="s">
        <v>41</v>
      </c>
    </row>
    <row r="7">
      <c r="A7" t="s">
        <v>215</v>
      </c>
      <c r="B7" t="s">
        <v>216</v>
      </c>
      <c r="C7" t="s">
        <v>297</v>
      </c>
      <c r="D7" t="s">
        <v>307</v>
      </c>
      <c r="E7" t="s">
        <v>308</v>
      </c>
      <c r="F7" t="s">
        <v>309</v>
      </c>
      <c r="G7" t="s">
        <v>141</v>
      </c>
    </row>
    <row r="8">
      <c r="A8" t="s">
        <v>155</v>
      </c>
      <c r="B8" t="s">
        <v>233</v>
      </c>
      <c r="C8" t="s">
        <v>293</v>
      </c>
      <c r="D8" t="s">
        <v>310</v>
      </c>
      <c r="E8" t="s">
        <v>311</v>
      </c>
      <c r="F8" t="s">
        <v>312</v>
      </c>
      <c r="G8" t="s">
        <v>41</v>
      </c>
    </row>
    <row r="9">
      <c r="A9" t="s">
        <v>155</v>
      </c>
      <c r="B9" t="s">
        <v>233</v>
      </c>
      <c r="C9" t="s">
        <v>297</v>
      </c>
      <c r="D9" t="s">
        <v>313</v>
      </c>
      <c r="E9" t="s">
        <v>314</v>
      </c>
      <c r="F9" t="s">
        <v>315</v>
      </c>
      <c r="G9" t="s">
        <v>154</v>
      </c>
    </row>
    <row r="10">
      <c r="A10" t="s">
        <v>229</v>
      </c>
      <c r="B10" t="s">
        <v>230</v>
      </c>
      <c r="C10" t="s">
        <v>316</v>
      </c>
      <c r="D10" t="s">
        <v>317</v>
      </c>
      <c r="E10" t="s">
        <v>318</v>
      </c>
      <c r="F10" t="s">
        <v>184</v>
      </c>
      <c r="G10" t="s">
        <v>41</v>
      </c>
    </row>
    <row r="11">
      <c r="A11" t="s">
        <v>229</v>
      </c>
      <c r="B11" t="s">
        <v>230</v>
      </c>
      <c r="C11" t="s">
        <v>319</v>
      </c>
      <c r="D11" t="s">
        <v>320</v>
      </c>
      <c r="E11" t="s">
        <v>321</v>
      </c>
      <c r="F11" t="s">
        <v>322</v>
      </c>
      <c r="G11" t="s">
        <v>298</v>
      </c>
    </row>
    <row r="12">
      <c r="A12" t="s">
        <v>150</v>
      </c>
      <c r="B12" t="s">
        <v>223</v>
      </c>
      <c r="C12" t="s">
        <v>316</v>
      </c>
      <c r="D12" t="s">
        <v>323</v>
      </c>
      <c r="E12" t="s">
        <v>324</v>
      </c>
      <c r="F12" t="s">
        <v>325</v>
      </c>
      <c r="G12" t="s">
        <v>41</v>
      </c>
    </row>
    <row r="13">
      <c r="A13" t="s">
        <v>150</v>
      </c>
      <c r="B13" t="s">
        <v>223</v>
      </c>
      <c r="C13" t="s">
        <v>319</v>
      </c>
      <c r="D13" t="s">
        <v>326</v>
      </c>
      <c r="E13" t="s">
        <v>327</v>
      </c>
      <c r="F13" t="s">
        <v>328</v>
      </c>
      <c r="G13" t="s">
        <v>298</v>
      </c>
    </row>
    <row r="14">
      <c r="A14" t="s">
        <v>227</v>
      </c>
      <c r="B14" t="s">
        <v>216</v>
      </c>
      <c r="C14" t="s">
        <v>316</v>
      </c>
      <c r="D14" t="s">
        <v>329</v>
      </c>
      <c r="E14" t="s">
        <v>330</v>
      </c>
      <c r="F14" t="s">
        <v>331</v>
      </c>
      <c r="G14" t="s">
        <v>41</v>
      </c>
    </row>
    <row r="15">
      <c r="A15" t="s">
        <v>227</v>
      </c>
      <c r="B15" t="s">
        <v>216</v>
      </c>
      <c r="C15" t="s">
        <v>319</v>
      </c>
      <c r="D15" t="s">
        <v>332</v>
      </c>
      <c r="E15" t="s">
        <v>333</v>
      </c>
      <c r="F15" t="s">
        <v>334</v>
      </c>
      <c r="G15" t="s">
        <v>141</v>
      </c>
    </row>
    <row r="16">
      <c r="A16" t="s">
        <v>335</v>
      </c>
      <c r="B16" t="s">
        <v>336</v>
      </c>
      <c r="C16" t="s">
        <v>316</v>
      </c>
      <c r="D16" t="s">
        <v>337</v>
      </c>
      <c r="E16" t="s">
        <v>338</v>
      </c>
      <c r="F16" t="s">
        <v>339</v>
      </c>
      <c r="G16" t="s">
        <v>41</v>
      </c>
    </row>
    <row r="17">
      <c r="A17" t="s">
        <v>335</v>
      </c>
      <c r="B17" t="s">
        <v>336</v>
      </c>
      <c r="C17" t="s">
        <v>319</v>
      </c>
      <c r="D17" t="s">
        <v>340</v>
      </c>
      <c r="E17" t="s">
        <v>341</v>
      </c>
      <c r="F17" t="s">
        <v>342</v>
      </c>
      <c r="G17" t="s">
        <v>343</v>
      </c>
    </row>
    <row r="18">
      <c r="A18" t="s">
        <v>344</v>
      </c>
      <c r="B18" t="s">
        <v>345</v>
      </c>
      <c r="C18" t="s">
        <v>316</v>
      </c>
      <c r="D18" t="s">
        <v>346</v>
      </c>
      <c r="E18" t="s">
        <v>347</v>
      </c>
      <c r="F18" t="s">
        <v>348</v>
      </c>
      <c r="G18" t="s">
        <v>41</v>
      </c>
    </row>
    <row r="19">
      <c r="A19" t="s">
        <v>344</v>
      </c>
      <c r="B19" t="s">
        <v>345</v>
      </c>
      <c r="C19" t="s">
        <v>319</v>
      </c>
      <c r="D19" t="s">
        <v>349</v>
      </c>
      <c r="E19" t="s">
        <v>350</v>
      </c>
      <c r="F19" t="s">
        <v>351</v>
      </c>
      <c r="G19" t="s">
        <v>343</v>
      </c>
    </row>
    <row r="20">
      <c r="A20" t="s">
        <v>352</v>
      </c>
      <c r="B20" t="s">
        <v>336</v>
      </c>
      <c r="C20" t="s">
        <v>316</v>
      </c>
      <c r="D20" t="s">
        <v>353</v>
      </c>
      <c r="E20" t="s">
        <v>354</v>
      </c>
      <c r="F20" t="s">
        <v>355</v>
      </c>
      <c r="G20" t="s">
        <v>41</v>
      </c>
    </row>
    <row r="21">
      <c r="A21" t="s">
        <v>352</v>
      </c>
      <c r="B21" t="s">
        <v>336</v>
      </c>
      <c r="C21" t="s">
        <v>319</v>
      </c>
      <c r="D21" t="s">
        <v>356</v>
      </c>
      <c r="E21" t="s">
        <v>357</v>
      </c>
      <c r="F21" t="s">
        <v>358</v>
      </c>
      <c r="G21" t="s">
        <v>343</v>
      </c>
    </row>
    <row r="22">
      <c r="A22" t="s">
        <v>359</v>
      </c>
      <c r="B22" t="s">
        <v>336</v>
      </c>
      <c r="C22" t="s">
        <v>316</v>
      </c>
      <c r="D22" t="s">
        <v>360</v>
      </c>
      <c r="E22" t="s">
        <v>361</v>
      </c>
      <c r="F22" t="s">
        <v>362</v>
      </c>
      <c r="G22" t="s">
        <v>41</v>
      </c>
    </row>
    <row r="23">
      <c r="A23" t="s">
        <v>359</v>
      </c>
      <c r="B23" t="s">
        <v>336</v>
      </c>
      <c r="C23" t="s">
        <v>319</v>
      </c>
      <c r="D23" t="s">
        <v>363</v>
      </c>
      <c r="E23" t="s">
        <v>364</v>
      </c>
      <c r="F23" t="s">
        <v>365</v>
      </c>
      <c r="G23" t="s">
        <v>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30.71" hidden="0" customWidth="1"/>
    <col min="3" max="3" width="11.71" hidden="0" customWidth="1"/>
    <col min="4" max="4" width="11.71" hidden="0" customWidth="1"/>
    <col min="5" max="5" width="19.71" hidden="0" customWidth="1"/>
    <col min="6" max="6" width="11.71" hidden="0" customWidth="1"/>
  </cols>
  <sheetData>
    <row r="1">
      <c r="A1" s="1" t="s">
        <v>366</v>
      </c>
      <c r="B1" s="1" t="s">
        <v>367</v>
      </c>
      <c r="C1" s="1" t="s">
        <v>1</v>
      </c>
      <c r="D1" s="1" t="s">
        <v>368</v>
      </c>
      <c r="E1" s="1" t="s">
        <v>133</v>
      </c>
      <c r="F1" s="1" t="s">
        <v>134</v>
      </c>
    </row>
    <row r="2">
      <c r="A2" t="s">
        <v>369</v>
      </c>
      <c r="B2" t="s">
        <v>370</v>
      </c>
      <c r="C2" t="s">
        <v>292</v>
      </c>
      <c r="D2" t="s">
        <v>371</v>
      </c>
      <c r="E2" t="s">
        <v>372</v>
      </c>
      <c r="F2" t="s">
        <v>373</v>
      </c>
    </row>
    <row r="3">
      <c r="A3" t="s">
        <v>374</v>
      </c>
      <c r="B3" t="s">
        <v>370</v>
      </c>
      <c r="C3" t="s">
        <v>375</v>
      </c>
      <c r="D3" t="s">
        <v>376</v>
      </c>
      <c r="E3" t="s">
        <v>377</v>
      </c>
      <c r="F3" t="s">
        <v>378</v>
      </c>
    </row>
    <row r="4">
      <c r="A4" t="s">
        <v>369</v>
      </c>
      <c r="B4" t="s">
        <v>150</v>
      </c>
      <c r="C4" t="s">
        <v>223</v>
      </c>
      <c r="D4" t="s">
        <v>346</v>
      </c>
      <c r="E4" t="s">
        <v>379</v>
      </c>
      <c r="F4" t="s">
        <v>380</v>
      </c>
    </row>
    <row r="5">
      <c r="A5" t="s">
        <v>374</v>
      </c>
      <c r="B5" t="s">
        <v>150</v>
      </c>
      <c r="C5" t="s">
        <v>381</v>
      </c>
      <c r="D5" t="s">
        <v>382</v>
      </c>
      <c r="E5" t="s">
        <v>383</v>
      </c>
      <c r="F5" t="s">
        <v>384</v>
      </c>
    </row>
    <row r="6">
      <c r="A6" t="s">
        <v>369</v>
      </c>
      <c r="B6" t="s">
        <v>227</v>
      </c>
      <c r="C6" t="s">
        <v>216</v>
      </c>
      <c r="D6" t="s">
        <v>385</v>
      </c>
      <c r="E6" t="s">
        <v>386</v>
      </c>
      <c r="F6" t="s">
        <v>387</v>
      </c>
    </row>
    <row r="7">
      <c r="A7" t="s">
        <v>374</v>
      </c>
      <c r="B7" t="s">
        <v>227</v>
      </c>
      <c r="C7" t="s">
        <v>336</v>
      </c>
      <c r="D7" t="s">
        <v>388</v>
      </c>
      <c r="E7" t="s">
        <v>389</v>
      </c>
      <c r="F7" t="s">
        <v>390</v>
      </c>
    </row>
    <row r="8">
      <c r="A8" t="s">
        <v>369</v>
      </c>
      <c r="B8" t="s">
        <v>155</v>
      </c>
      <c r="C8" t="s">
        <v>233</v>
      </c>
      <c r="D8" t="s">
        <v>234</v>
      </c>
      <c r="E8" t="s">
        <v>391</v>
      </c>
      <c r="F8" t="s">
        <v>235</v>
      </c>
    </row>
    <row r="9">
      <c r="A9" t="s">
        <v>374</v>
      </c>
      <c r="B9" t="s">
        <v>155</v>
      </c>
      <c r="C9" t="s">
        <v>392</v>
      </c>
      <c r="D9" t="s">
        <v>393</v>
      </c>
      <c r="E9" t="s">
        <v>394</v>
      </c>
      <c r="F9" t="s">
        <v>395</v>
      </c>
    </row>
    <row r="10">
      <c r="A10" t="s">
        <v>369</v>
      </c>
      <c r="B10" t="s">
        <v>229</v>
      </c>
      <c r="C10" t="s">
        <v>230</v>
      </c>
      <c r="D10" t="s">
        <v>396</v>
      </c>
      <c r="E10" t="s">
        <v>397</v>
      </c>
      <c r="F10" t="s">
        <v>398</v>
      </c>
    </row>
    <row r="11">
      <c r="A11" t="s">
        <v>374</v>
      </c>
      <c r="B11" t="s">
        <v>229</v>
      </c>
      <c r="C11" t="s">
        <v>399</v>
      </c>
      <c r="D11" t="s">
        <v>400</v>
      </c>
      <c r="E11" t="s">
        <v>401</v>
      </c>
      <c r="F11" t="s">
        <v>402</v>
      </c>
    </row>
    <row r="12">
      <c r="A12" t="s">
        <v>369</v>
      </c>
      <c r="B12" t="s">
        <v>162</v>
      </c>
      <c r="C12" t="s">
        <v>220</v>
      </c>
      <c r="D12" t="s">
        <v>221</v>
      </c>
      <c r="E12" t="s">
        <v>403</v>
      </c>
      <c r="F12" t="s">
        <v>222</v>
      </c>
    </row>
    <row r="13">
      <c r="A13" t="s">
        <v>374</v>
      </c>
      <c r="B13" t="s">
        <v>162</v>
      </c>
      <c r="C13" t="s">
        <v>404</v>
      </c>
      <c r="D13" t="s">
        <v>200</v>
      </c>
      <c r="E13" t="s">
        <v>405</v>
      </c>
      <c r="F13" t="s">
        <v>406</v>
      </c>
    </row>
    <row r="14">
      <c r="A14" t="s">
        <v>369</v>
      </c>
      <c r="B14" t="s">
        <v>215</v>
      </c>
      <c r="C14" t="s">
        <v>216</v>
      </c>
      <c r="D14" t="s">
        <v>217</v>
      </c>
      <c r="E14" t="s">
        <v>407</v>
      </c>
      <c r="F14" t="s">
        <v>218</v>
      </c>
    </row>
    <row r="15">
      <c r="A15" t="s">
        <v>374</v>
      </c>
      <c r="B15" t="s">
        <v>215</v>
      </c>
      <c r="C15" t="s">
        <v>336</v>
      </c>
      <c r="D15" t="s">
        <v>408</v>
      </c>
      <c r="E15" t="s">
        <v>409</v>
      </c>
      <c r="F15" t="s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26.71" hidden="0" customWidth="1"/>
    <col min="3" max="3" width="11.71" hidden="0" customWidth="1"/>
    <col min="4" max="4" width="13.71" hidden="0" customWidth="1"/>
    <col min="5" max="5" width="11.71" hidden="0" customWidth="1"/>
    <col min="6" max="6" width="20.71" hidden="0" customWidth="1"/>
    <col min="7" max="7" width="11.71" hidden="0" customWidth="1"/>
  </cols>
  <sheetData>
    <row r="1">
      <c r="A1" s="1" t="s">
        <v>410</v>
      </c>
      <c r="B1" s="1" t="s">
        <v>367</v>
      </c>
      <c r="C1" s="1" t="s">
        <v>1</v>
      </c>
      <c r="D1" s="1" t="s">
        <v>411</v>
      </c>
      <c r="E1" s="1" t="s">
        <v>160</v>
      </c>
      <c r="F1" s="1" t="s">
        <v>133</v>
      </c>
      <c r="G1" s="1" t="s">
        <v>134</v>
      </c>
    </row>
    <row r="2">
      <c r="A2" t="s">
        <v>412</v>
      </c>
      <c r="B2" t="s">
        <v>370</v>
      </c>
      <c r="C2" t="s">
        <v>413</v>
      </c>
      <c r="D2" t="s">
        <v>414</v>
      </c>
      <c r="E2" t="s">
        <v>415</v>
      </c>
      <c r="F2" t="s">
        <v>416</v>
      </c>
      <c r="G2" t="s">
        <v>417</v>
      </c>
    </row>
    <row r="3">
      <c r="A3" t="s">
        <v>418</v>
      </c>
      <c r="B3" t="s">
        <v>370</v>
      </c>
      <c r="C3" t="s">
        <v>413</v>
      </c>
      <c r="D3" t="s">
        <v>414</v>
      </c>
      <c r="E3" t="s">
        <v>419</v>
      </c>
      <c r="F3" t="s">
        <v>420</v>
      </c>
      <c r="G3" t="s">
        <v>421</v>
      </c>
    </row>
    <row r="4">
      <c r="A4" t="s">
        <v>422</v>
      </c>
      <c r="B4" t="s">
        <v>370</v>
      </c>
      <c r="C4" t="s">
        <v>413</v>
      </c>
      <c r="D4" t="s">
        <v>414</v>
      </c>
      <c r="E4" t="s">
        <v>294</v>
      </c>
      <c r="F4" t="s">
        <v>423</v>
      </c>
      <c r="G4" t="s">
        <v>153</v>
      </c>
    </row>
    <row r="5">
      <c r="A5" t="s">
        <v>424</v>
      </c>
      <c r="B5" t="s">
        <v>370</v>
      </c>
      <c r="C5" t="s">
        <v>413</v>
      </c>
      <c r="D5" t="s">
        <v>414</v>
      </c>
      <c r="E5" t="s">
        <v>425</v>
      </c>
      <c r="F5" t="s">
        <v>426</v>
      </c>
      <c r="G5" t="s">
        <v>427</v>
      </c>
    </row>
    <row r="6">
      <c r="A6" t="s">
        <v>412</v>
      </c>
      <c r="B6" t="s">
        <v>162</v>
      </c>
      <c r="C6" t="s">
        <v>428</v>
      </c>
      <c r="D6" t="s">
        <v>414</v>
      </c>
      <c r="E6" t="s">
        <v>429</v>
      </c>
      <c r="F6" t="s">
        <v>430</v>
      </c>
      <c r="G6" t="s">
        <v>431</v>
      </c>
    </row>
    <row r="7">
      <c r="A7" t="s">
        <v>418</v>
      </c>
      <c r="B7" t="s">
        <v>162</v>
      </c>
      <c r="C7" t="s">
        <v>428</v>
      </c>
      <c r="D7" t="s">
        <v>414</v>
      </c>
      <c r="E7" t="s">
        <v>429</v>
      </c>
      <c r="F7" t="s">
        <v>430</v>
      </c>
      <c r="G7" t="s">
        <v>432</v>
      </c>
    </row>
    <row r="8">
      <c r="A8" t="s">
        <v>422</v>
      </c>
      <c r="B8" t="s">
        <v>162</v>
      </c>
      <c r="C8" t="s">
        <v>428</v>
      </c>
      <c r="D8" t="s">
        <v>414</v>
      </c>
      <c r="E8" t="s">
        <v>299</v>
      </c>
      <c r="F8" t="s">
        <v>300</v>
      </c>
      <c r="G8" t="s">
        <v>433</v>
      </c>
    </row>
    <row r="9">
      <c r="A9" t="s">
        <v>424</v>
      </c>
      <c r="B9" t="s">
        <v>162</v>
      </c>
      <c r="C9" t="s">
        <v>428</v>
      </c>
      <c r="D9" t="s">
        <v>414</v>
      </c>
      <c r="E9" t="s">
        <v>313</v>
      </c>
      <c r="F9" t="s">
        <v>434</v>
      </c>
      <c r="G9" t="s">
        <v>435</v>
      </c>
    </row>
    <row r="10">
      <c r="A10" t="s">
        <v>412</v>
      </c>
      <c r="B10" t="s">
        <v>155</v>
      </c>
      <c r="C10" t="s">
        <v>175</v>
      </c>
      <c r="D10" t="s">
        <v>414</v>
      </c>
      <c r="E10" t="s">
        <v>329</v>
      </c>
      <c r="F10" t="s">
        <v>436</v>
      </c>
      <c r="G10" t="s">
        <v>437</v>
      </c>
    </row>
    <row r="11">
      <c r="A11" t="s">
        <v>418</v>
      </c>
      <c r="B11" t="s">
        <v>155</v>
      </c>
      <c r="C11" t="s">
        <v>175</v>
      </c>
      <c r="D11" t="s">
        <v>414</v>
      </c>
      <c r="E11" t="s">
        <v>438</v>
      </c>
      <c r="F11" t="s">
        <v>439</v>
      </c>
      <c r="G11" t="s">
        <v>440</v>
      </c>
    </row>
    <row r="12">
      <c r="A12" t="s">
        <v>422</v>
      </c>
      <c r="B12" t="s">
        <v>155</v>
      </c>
      <c r="C12" t="s">
        <v>175</v>
      </c>
      <c r="D12" t="s">
        <v>414</v>
      </c>
      <c r="E12" t="s">
        <v>310</v>
      </c>
      <c r="F12" t="s">
        <v>311</v>
      </c>
      <c r="G12" t="s">
        <v>441</v>
      </c>
    </row>
    <row r="13">
      <c r="A13" t="s">
        <v>424</v>
      </c>
      <c r="B13" t="s">
        <v>155</v>
      </c>
      <c r="C13" t="s">
        <v>175</v>
      </c>
      <c r="D13" t="s">
        <v>414</v>
      </c>
      <c r="E13" t="s">
        <v>442</v>
      </c>
      <c r="F13" t="s">
        <v>443</v>
      </c>
      <c r="G13" t="s">
        <v>444</v>
      </c>
    </row>
    <row r="14">
      <c r="A14" t="s">
        <v>412</v>
      </c>
      <c r="B14" t="s">
        <v>229</v>
      </c>
      <c r="C14" t="s">
        <v>445</v>
      </c>
      <c r="D14" t="s">
        <v>446</v>
      </c>
      <c r="E14" t="s">
        <v>447</v>
      </c>
      <c r="F14" t="s">
        <v>448</v>
      </c>
      <c r="G14" t="s">
        <v>449</v>
      </c>
    </row>
    <row r="15">
      <c r="A15" t="s">
        <v>418</v>
      </c>
      <c r="B15" t="s">
        <v>229</v>
      </c>
      <c r="C15" t="s">
        <v>445</v>
      </c>
      <c r="D15" t="s">
        <v>446</v>
      </c>
      <c r="E15" t="s">
        <v>450</v>
      </c>
      <c r="F15" t="s">
        <v>451</v>
      </c>
      <c r="G15" t="s">
        <v>452</v>
      </c>
    </row>
    <row r="16">
      <c r="A16" t="s">
        <v>422</v>
      </c>
      <c r="B16" t="s">
        <v>229</v>
      </c>
      <c r="C16" t="s">
        <v>445</v>
      </c>
      <c r="D16" t="s">
        <v>446</v>
      </c>
      <c r="E16" t="s">
        <v>317</v>
      </c>
      <c r="F16" t="s">
        <v>453</v>
      </c>
      <c r="G16" t="s">
        <v>232</v>
      </c>
    </row>
    <row r="17">
      <c r="A17" t="s">
        <v>424</v>
      </c>
      <c r="B17" t="s">
        <v>229</v>
      </c>
      <c r="C17" t="s">
        <v>445</v>
      </c>
      <c r="D17" t="s">
        <v>446</v>
      </c>
      <c r="E17" t="s">
        <v>454</v>
      </c>
      <c r="F17" t="s">
        <v>455</v>
      </c>
      <c r="G17" t="s">
        <v>456</v>
      </c>
    </row>
    <row r="18">
      <c r="A18" t="s">
        <v>412</v>
      </c>
      <c r="B18" t="s">
        <v>150</v>
      </c>
      <c r="C18" t="s">
        <v>167</v>
      </c>
      <c r="D18" t="s">
        <v>446</v>
      </c>
      <c r="E18" t="s">
        <v>457</v>
      </c>
      <c r="F18" t="s">
        <v>458</v>
      </c>
      <c r="G18" t="s">
        <v>459</v>
      </c>
    </row>
    <row r="19">
      <c r="A19" t="s">
        <v>418</v>
      </c>
      <c r="B19" t="s">
        <v>150</v>
      </c>
      <c r="C19" t="s">
        <v>167</v>
      </c>
      <c r="D19" t="s">
        <v>446</v>
      </c>
      <c r="E19" t="s">
        <v>457</v>
      </c>
      <c r="F19" t="s">
        <v>458</v>
      </c>
      <c r="G19" t="s">
        <v>459</v>
      </c>
    </row>
    <row r="20">
      <c r="A20" t="s">
        <v>422</v>
      </c>
      <c r="B20" t="s">
        <v>150</v>
      </c>
      <c r="C20" t="s">
        <v>167</v>
      </c>
      <c r="D20" t="s">
        <v>446</v>
      </c>
      <c r="E20" t="s">
        <v>217</v>
      </c>
      <c r="F20" t="s">
        <v>460</v>
      </c>
      <c r="G20" t="s">
        <v>226</v>
      </c>
    </row>
    <row r="21">
      <c r="A21" t="s">
        <v>424</v>
      </c>
      <c r="B21" t="s">
        <v>150</v>
      </c>
      <c r="C21" t="s">
        <v>167</v>
      </c>
      <c r="D21" t="s">
        <v>446</v>
      </c>
      <c r="E21" t="s">
        <v>461</v>
      </c>
      <c r="F21" t="s">
        <v>462</v>
      </c>
      <c r="G21" t="s">
        <v>463</v>
      </c>
    </row>
    <row r="22">
      <c r="A22" t="s">
        <v>412</v>
      </c>
      <c r="B22" t="s">
        <v>227</v>
      </c>
      <c r="C22" t="s">
        <v>464</v>
      </c>
      <c r="D22" t="s">
        <v>446</v>
      </c>
      <c r="E22" t="s">
        <v>465</v>
      </c>
      <c r="F22" t="s">
        <v>466</v>
      </c>
      <c r="G22" t="s">
        <v>467</v>
      </c>
    </row>
    <row r="23">
      <c r="A23" t="s">
        <v>418</v>
      </c>
      <c r="B23" t="s">
        <v>227</v>
      </c>
      <c r="C23" t="s">
        <v>464</v>
      </c>
      <c r="D23" t="s">
        <v>446</v>
      </c>
      <c r="E23" t="s">
        <v>468</v>
      </c>
      <c r="F23" t="s">
        <v>469</v>
      </c>
      <c r="G23" t="s">
        <v>467</v>
      </c>
    </row>
    <row r="24">
      <c r="A24" t="s">
        <v>422</v>
      </c>
      <c r="B24" t="s">
        <v>227</v>
      </c>
      <c r="C24" t="s">
        <v>464</v>
      </c>
      <c r="D24" t="s">
        <v>446</v>
      </c>
      <c r="E24" t="s">
        <v>329</v>
      </c>
      <c r="F24" t="s">
        <v>470</v>
      </c>
      <c r="G24" t="s">
        <v>219</v>
      </c>
    </row>
    <row r="25">
      <c r="A25" t="s">
        <v>424</v>
      </c>
      <c r="B25" t="s">
        <v>227</v>
      </c>
      <c r="C25" t="s">
        <v>464</v>
      </c>
      <c r="D25" t="s">
        <v>446</v>
      </c>
      <c r="E25" t="s">
        <v>454</v>
      </c>
      <c r="F25" t="s">
        <v>471</v>
      </c>
      <c r="G25" t="s">
        <v>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6.71" hidden="0" customWidth="1"/>
    <col min="3" max="3" width="11.71" hidden="0" customWidth="1"/>
    <col min="4" max="4" width="29.71" hidden="0" customWidth="1"/>
  </cols>
  <sheetData>
    <row r="1">
      <c r="A1" s="1" t="s">
        <v>366</v>
      </c>
      <c r="B1" s="1" t="s">
        <v>367</v>
      </c>
      <c r="C1" s="1" t="s">
        <v>1</v>
      </c>
      <c r="D1" s="1" t="s">
        <v>473</v>
      </c>
    </row>
    <row r="2">
      <c r="A2" t="s">
        <v>369</v>
      </c>
      <c r="B2" t="s">
        <v>370</v>
      </c>
      <c r="C2" t="s">
        <v>413</v>
      </c>
      <c r="D2" t="s">
        <v>153</v>
      </c>
    </row>
    <row r="3">
      <c r="A3" t="s">
        <v>374</v>
      </c>
      <c r="B3" t="s">
        <v>370</v>
      </c>
      <c r="C3" t="s">
        <v>474</v>
      </c>
      <c r="D3" t="s">
        <v>202</v>
      </c>
    </row>
    <row r="4">
      <c r="A4" t="s">
        <v>369</v>
      </c>
      <c r="B4" t="s">
        <v>150</v>
      </c>
      <c r="C4" t="s">
        <v>167</v>
      </c>
      <c r="D4" t="s">
        <v>475</v>
      </c>
    </row>
    <row r="5">
      <c r="A5" t="s">
        <v>374</v>
      </c>
      <c r="B5" t="s">
        <v>150</v>
      </c>
      <c r="C5" t="s">
        <v>476</v>
      </c>
      <c r="D5" t="s">
        <v>477</v>
      </c>
    </row>
    <row r="6">
      <c r="A6" t="s">
        <v>369</v>
      </c>
      <c r="B6" t="s">
        <v>227</v>
      </c>
      <c r="C6" t="s">
        <v>464</v>
      </c>
      <c r="D6" t="s">
        <v>219</v>
      </c>
    </row>
    <row r="7">
      <c r="A7" t="s">
        <v>374</v>
      </c>
      <c r="B7" t="s">
        <v>227</v>
      </c>
      <c r="C7" t="s">
        <v>478</v>
      </c>
      <c r="D7" t="s">
        <v>479</v>
      </c>
    </row>
    <row r="8">
      <c r="A8" t="s">
        <v>369</v>
      </c>
      <c r="B8" t="s">
        <v>155</v>
      </c>
      <c r="C8" t="s">
        <v>175</v>
      </c>
      <c r="D8" t="s">
        <v>441</v>
      </c>
    </row>
    <row r="9">
      <c r="A9" t="s">
        <v>374</v>
      </c>
      <c r="B9" t="s">
        <v>155</v>
      </c>
      <c r="C9" t="s">
        <v>480</v>
      </c>
      <c r="D9" t="s">
        <v>481</v>
      </c>
    </row>
    <row r="10">
      <c r="A10" t="s">
        <v>369</v>
      </c>
      <c r="B10" t="s">
        <v>229</v>
      </c>
      <c r="C10" t="s">
        <v>445</v>
      </c>
      <c r="D10" t="s">
        <v>482</v>
      </c>
    </row>
    <row r="11">
      <c r="A11" t="s">
        <v>374</v>
      </c>
      <c r="B11" t="s">
        <v>229</v>
      </c>
      <c r="C11" t="s">
        <v>483</v>
      </c>
      <c r="D11" t="s">
        <v>484</v>
      </c>
    </row>
    <row r="12">
      <c r="A12" t="s">
        <v>369</v>
      </c>
      <c r="B12" t="s">
        <v>162</v>
      </c>
      <c r="C12" t="s">
        <v>428</v>
      </c>
      <c r="D12" t="s">
        <v>433</v>
      </c>
    </row>
    <row r="13">
      <c r="A13" t="s">
        <v>374</v>
      </c>
      <c r="B13" t="s">
        <v>162</v>
      </c>
      <c r="C13" t="s">
        <v>485</v>
      </c>
      <c r="D13" t="s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11.71" hidden="0" customWidth="1"/>
    <col min="3" max="3" width="19.71" hidden="0" customWidth="1"/>
    <col min="4" max="4" width="19.71" hidden="0" customWidth="1"/>
    <col min="5" max="5" width="11.71" hidden="0" customWidth="1"/>
  </cols>
  <sheetData>
    <row r="1">
      <c r="A1" s="1" t="s">
        <v>366</v>
      </c>
      <c r="B1" s="1" t="s">
        <v>1</v>
      </c>
      <c r="C1" s="1" t="s">
        <v>486</v>
      </c>
      <c r="D1" s="1" t="s">
        <v>133</v>
      </c>
      <c r="E1" s="1" t="s">
        <v>134</v>
      </c>
    </row>
    <row r="2">
      <c r="A2" t="s">
        <v>487</v>
      </c>
      <c r="B2" t="s">
        <v>488</v>
      </c>
      <c r="C2" t="s">
        <v>489</v>
      </c>
      <c r="D2" t="s">
        <v>490</v>
      </c>
      <c r="E2" t="s">
        <v>491</v>
      </c>
    </row>
    <row r="3">
      <c r="A3" t="s">
        <v>492</v>
      </c>
      <c r="B3" t="s">
        <v>493</v>
      </c>
      <c r="C3" t="s">
        <v>494</v>
      </c>
      <c r="D3" t="s">
        <v>495</v>
      </c>
      <c r="E3" t="s">
        <v>153</v>
      </c>
    </row>
    <row r="4">
      <c r="A4" t="s">
        <v>496</v>
      </c>
      <c r="B4" t="s">
        <v>497</v>
      </c>
      <c r="C4" t="s">
        <v>498</v>
      </c>
      <c r="D4" t="s">
        <v>499</v>
      </c>
      <c r="E4" t="s">
        <v>500</v>
      </c>
    </row>
    <row r="5">
      <c r="A5" t="s">
        <v>501</v>
      </c>
      <c r="B5" t="s">
        <v>502</v>
      </c>
      <c r="C5" t="s">
        <v>503</v>
      </c>
      <c r="D5" t="s">
        <v>504</v>
      </c>
      <c r="E5" t="s">
        <v>505</v>
      </c>
    </row>
    <row r="6">
      <c r="A6" t="s">
        <v>506</v>
      </c>
      <c r="B6" t="s">
        <v>507</v>
      </c>
      <c r="C6" t="s">
        <v>508</v>
      </c>
      <c r="D6" t="s">
        <v>509</v>
      </c>
      <c r="E6" t="s">
        <v>510</v>
      </c>
    </row>
    <row r="7">
      <c r="A7" t="s">
        <v>511</v>
      </c>
      <c r="B7" t="s">
        <v>512</v>
      </c>
      <c r="C7" t="s">
        <v>513</v>
      </c>
      <c r="D7" t="s">
        <v>514</v>
      </c>
      <c r="E7" t="s">
        <v>202</v>
      </c>
    </row>
    <row r="8">
      <c r="A8" t="s">
        <v>515</v>
      </c>
      <c r="B8" t="s">
        <v>516</v>
      </c>
      <c r="C8" t="s">
        <v>517</v>
      </c>
      <c r="D8" t="s">
        <v>518</v>
      </c>
      <c r="E8" t="s">
        <v>153</v>
      </c>
    </row>
    <row r="9">
      <c r="A9" t="s">
        <v>519</v>
      </c>
      <c r="B9" t="s">
        <v>520</v>
      </c>
      <c r="C9" t="s">
        <v>521</v>
      </c>
      <c r="D9" t="s">
        <v>522</v>
      </c>
      <c r="E9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9.71" hidden="0" customWidth="1"/>
    <col min="4" max="4" width="19.71" hidden="0" customWidth="1"/>
    <col min="5" max="5" width="11.71" hidden="0" customWidth="1"/>
  </cols>
  <sheetData>
    <row r="1">
      <c r="A1" s="1" t="s">
        <v>366</v>
      </c>
      <c r="B1" s="1" t="s">
        <v>1</v>
      </c>
      <c r="C1" s="1" t="s">
        <v>486</v>
      </c>
      <c r="D1" s="1" t="s">
        <v>133</v>
      </c>
      <c r="E1" s="1" t="s">
        <v>134</v>
      </c>
    </row>
    <row r="2">
      <c r="A2" t="s">
        <v>524</v>
      </c>
      <c r="B2" t="s">
        <v>488</v>
      </c>
      <c r="C2" t="s">
        <v>489</v>
      </c>
      <c r="D2" t="s">
        <v>490</v>
      </c>
      <c r="E2" t="s">
        <v>491</v>
      </c>
    </row>
    <row r="3">
      <c r="A3" t="s">
        <v>525</v>
      </c>
      <c r="B3" t="s">
        <v>526</v>
      </c>
      <c r="C3" t="s">
        <v>527</v>
      </c>
      <c r="D3" t="s">
        <v>528</v>
      </c>
      <c r="E3" t="s">
        <v>382</v>
      </c>
    </row>
    <row r="4">
      <c r="A4" t="s">
        <v>529</v>
      </c>
      <c r="B4" t="s">
        <v>381</v>
      </c>
      <c r="C4" t="s">
        <v>530</v>
      </c>
      <c r="D4" t="s">
        <v>531</v>
      </c>
      <c r="E4" t="s">
        <v>349</v>
      </c>
    </row>
    <row r="5">
      <c r="A5" t="s">
        <v>532</v>
      </c>
      <c r="B5" t="s">
        <v>533</v>
      </c>
      <c r="C5" t="s">
        <v>534</v>
      </c>
      <c r="D5" t="s">
        <v>535</v>
      </c>
      <c r="E5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11.71" hidden="0" customWidth="1"/>
    <col min="3" max="3" width="19.71" hidden="0" customWidth="1"/>
    <col min="4" max="4" width="19.71" hidden="0" customWidth="1"/>
    <col min="5" max="5" width="11.71" hidden="0" customWidth="1"/>
  </cols>
  <sheetData>
    <row r="1">
      <c r="A1" s="1" t="s">
        <v>366</v>
      </c>
      <c r="B1" s="1" t="s">
        <v>1</v>
      </c>
      <c r="C1" s="1" t="s">
        <v>486</v>
      </c>
      <c r="D1" s="1" t="s">
        <v>133</v>
      </c>
      <c r="E1" s="1" t="s">
        <v>134</v>
      </c>
    </row>
    <row r="2">
      <c r="A2" t="s">
        <v>369</v>
      </c>
      <c r="B2" t="s">
        <v>488</v>
      </c>
      <c r="C2" t="s">
        <v>489</v>
      </c>
      <c r="D2" t="s">
        <v>490</v>
      </c>
      <c r="E2" t="s">
        <v>491</v>
      </c>
    </row>
    <row r="3">
      <c r="A3" t="s">
        <v>536</v>
      </c>
      <c r="B3" t="s">
        <v>537</v>
      </c>
      <c r="C3" t="s">
        <v>538</v>
      </c>
      <c r="D3" t="s">
        <v>539</v>
      </c>
      <c r="E3" t="s">
        <v>540</v>
      </c>
    </row>
    <row r="4">
      <c r="A4" t="s">
        <v>541</v>
      </c>
      <c r="B4" t="s">
        <v>542</v>
      </c>
      <c r="C4" t="s">
        <v>543</v>
      </c>
      <c r="D4" t="s">
        <v>544</v>
      </c>
      <c r="E4" t="s">
        <v>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33.71" hidden="0" customWidth="1"/>
    <col min="3" max="3" width="12.71" hidden="0" customWidth="1"/>
    <col min="4" max="4" width="41.71" hidden="0" customWidth="1"/>
    <col min="5" max="5" width="17.71" hidden="0" customWidth="1"/>
    <col min="6" max="6" width="19.71" hidden="0" customWidth="1"/>
    <col min="7" max="7" width="11.71" hidden="0" customWidth="1"/>
  </cols>
  <sheetData>
    <row r="1">
      <c r="A1" s="1" t="s">
        <v>367</v>
      </c>
      <c r="B1" s="1" t="s">
        <v>546</v>
      </c>
      <c r="C1" s="1" t="s">
        <v>1</v>
      </c>
      <c r="D1" s="1" t="s">
        <v>547</v>
      </c>
      <c r="E1" s="1" t="s">
        <v>214</v>
      </c>
      <c r="F1" s="1" t="s">
        <v>133</v>
      </c>
      <c r="G1" s="1" t="s">
        <v>134</v>
      </c>
    </row>
    <row r="2">
      <c r="A2" t="s">
        <v>229</v>
      </c>
      <c r="B2" t="s">
        <v>548</v>
      </c>
      <c r="C2" t="s">
        <v>549</v>
      </c>
      <c r="D2" t="s">
        <v>550</v>
      </c>
      <c r="E2" t="s">
        <v>551</v>
      </c>
      <c r="F2" t="s">
        <v>41</v>
      </c>
      <c r="G2" t="s">
        <v>552</v>
      </c>
    </row>
    <row r="3">
      <c r="A3" t="s">
        <v>150</v>
      </c>
      <c r="B3" t="s">
        <v>548</v>
      </c>
      <c r="C3" t="s">
        <v>553</v>
      </c>
      <c r="D3" t="s">
        <v>550</v>
      </c>
      <c r="E3" t="s">
        <v>554</v>
      </c>
      <c r="F3" t="s">
        <v>41</v>
      </c>
      <c r="G3" t="s">
        <v>191</v>
      </c>
    </row>
    <row r="4">
      <c r="A4" t="s">
        <v>162</v>
      </c>
      <c r="B4" t="s">
        <v>548</v>
      </c>
      <c r="C4" t="s">
        <v>555</v>
      </c>
      <c r="D4" t="s">
        <v>556</v>
      </c>
      <c r="E4" t="s">
        <v>557</v>
      </c>
      <c r="F4" t="s">
        <v>41</v>
      </c>
      <c r="G4" t="s">
        <v>558</v>
      </c>
    </row>
    <row r="5">
      <c r="A5" t="s">
        <v>227</v>
      </c>
      <c r="B5" t="s">
        <v>548</v>
      </c>
      <c r="C5" t="s">
        <v>559</v>
      </c>
      <c r="D5" t="s">
        <v>550</v>
      </c>
      <c r="E5" t="s">
        <v>560</v>
      </c>
      <c r="F5" t="s">
        <v>41</v>
      </c>
      <c r="G5" t="s">
        <v>332</v>
      </c>
    </row>
    <row r="6">
      <c r="A6" t="s">
        <v>155</v>
      </c>
      <c r="B6" t="s">
        <v>548</v>
      </c>
      <c r="C6" t="s">
        <v>561</v>
      </c>
      <c r="D6" t="s">
        <v>556</v>
      </c>
      <c r="E6" t="s">
        <v>562</v>
      </c>
      <c r="F6" t="s">
        <v>41</v>
      </c>
      <c r="G6" t="s">
        <v>563</v>
      </c>
    </row>
    <row r="7">
      <c r="A7" t="s">
        <v>335</v>
      </c>
      <c r="B7" t="s">
        <v>548</v>
      </c>
      <c r="C7" t="s">
        <v>564</v>
      </c>
      <c r="D7" t="s">
        <v>550</v>
      </c>
      <c r="E7" t="s">
        <v>565</v>
      </c>
      <c r="F7" t="s">
        <v>41</v>
      </c>
      <c r="G7" t="s">
        <v>566</v>
      </c>
    </row>
    <row r="8">
      <c r="A8" t="s">
        <v>567</v>
      </c>
      <c r="B8" t="s">
        <v>548</v>
      </c>
      <c r="C8" t="s">
        <v>568</v>
      </c>
      <c r="D8" t="s">
        <v>550</v>
      </c>
      <c r="E8" t="s">
        <v>569</v>
      </c>
      <c r="F8" t="s">
        <v>41</v>
      </c>
      <c r="G8" t="s">
        <v>256</v>
      </c>
    </row>
    <row r="9">
      <c r="A9" t="s">
        <v>570</v>
      </c>
      <c r="B9" t="s">
        <v>548</v>
      </c>
      <c r="C9" t="s">
        <v>571</v>
      </c>
      <c r="D9" t="s">
        <v>550</v>
      </c>
      <c r="E9" t="s">
        <v>572</v>
      </c>
      <c r="F9" t="s">
        <v>41</v>
      </c>
      <c r="G9" t="s">
        <v>573</v>
      </c>
    </row>
    <row r="10">
      <c r="A10" t="s">
        <v>574</v>
      </c>
      <c r="B10" t="s">
        <v>548</v>
      </c>
      <c r="C10" t="s">
        <v>575</v>
      </c>
      <c r="D10" t="s">
        <v>550</v>
      </c>
      <c r="E10" t="s">
        <v>576</v>
      </c>
      <c r="F10" t="s">
        <v>41</v>
      </c>
      <c r="G10" t="s">
        <v>577</v>
      </c>
    </row>
    <row r="11">
      <c r="A11" t="s">
        <v>578</v>
      </c>
      <c r="B11" t="s">
        <v>548</v>
      </c>
      <c r="C11" t="s">
        <v>579</v>
      </c>
      <c r="D11" t="s">
        <v>550</v>
      </c>
      <c r="E11" t="s">
        <v>580</v>
      </c>
      <c r="F11" t="s">
        <v>41</v>
      </c>
      <c r="G11" t="s">
        <v>581</v>
      </c>
    </row>
    <row r="12">
      <c r="A12" t="s">
        <v>370</v>
      </c>
      <c r="B12" t="s">
        <v>548</v>
      </c>
      <c r="C12" t="s">
        <v>582</v>
      </c>
      <c r="D12" t="s">
        <v>556</v>
      </c>
      <c r="E12" t="s">
        <v>583</v>
      </c>
      <c r="F12" t="s">
        <v>41</v>
      </c>
      <c r="G12" t="s">
        <v>584</v>
      </c>
    </row>
    <row r="13">
      <c r="A13" t="s">
        <v>229</v>
      </c>
      <c r="B13" t="s">
        <v>585</v>
      </c>
      <c r="C13" t="s">
        <v>70</v>
      </c>
      <c r="D13" t="s">
        <v>586</v>
      </c>
      <c r="E13" t="s">
        <v>587</v>
      </c>
      <c r="F13" t="s">
        <v>588</v>
      </c>
      <c r="G13" t="s">
        <v>589</v>
      </c>
    </row>
    <row r="14">
      <c r="A14" t="s">
        <v>150</v>
      </c>
      <c r="B14" t="s">
        <v>585</v>
      </c>
      <c r="C14" t="s">
        <v>167</v>
      </c>
      <c r="D14" t="s">
        <v>586</v>
      </c>
      <c r="E14" t="s">
        <v>590</v>
      </c>
      <c r="F14" t="s">
        <v>591</v>
      </c>
      <c r="G14" t="s">
        <v>592</v>
      </c>
    </row>
    <row r="15">
      <c r="A15" t="s">
        <v>162</v>
      </c>
      <c r="B15" t="s">
        <v>585</v>
      </c>
      <c r="C15" t="s">
        <v>163</v>
      </c>
      <c r="D15" t="s">
        <v>593</v>
      </c>
      <c r="E15" t="s">
        <v>594</v>
      </c>
      <c r="F15" t="s">
        <v>595</v>
      </c>
      <c r="G15" t="s">
        <v>596</v>
      </c>
    </row>
    <row r="16">
      <c r="A16" t="s">
        <v>227</v>
      </c>
      <c r="B16" t="s">
        <v>585</v>
      </c>
      <c r="C16" t="s">
        <v>464</v>
      </c>
      <c r="D16" t="s">
        <v>586</v>
      </c>
      <c r="E16" t="s">
        <v>597</v>
      </c>
      <c r="F16" t="s">
        <v>598</v>
      </c>
      <c r="G16" t="s">
        <v>599</v>
      </c>
    </row>
    <row r="17">
      <c r="A17" t="s">
        <v>155</v>
      </c>
      <c r="B17" t="s">
        <v>585</v>
      </c>
      <c r="C17" t="s">
        <v>175</v>
      </c>
      <c r="D17" t="s">
        <v>593</v>
      </c>
      <c r="E17" t="s">
        <v>385</v>
      </c>
      <c r="F17" t="s">
        <v>600</v>
      </c>
      <c r="G17" t="s">
        <v>271</v>
      </c>
    </row>
    <row r="18">
      <c r="A18" t="s">
        <v>335</v>
      </c>
      <c r="B18" t="s">
        <v>585</v>
      </c>
      <c r="C18" t="s">
        <v>601</v>
      </c>
      <c r="D18" t="s">
        <v>586</v>
      </c>
      <c r="E18" t="s">
        <v>602</v>
      </c>
      <c r="F18" t="s">
        <v>603</v>
      </c>
      <c r="G18" t="s">
        <v>604</v>
      </c>
    </row>
    <row r="19">
      <c r="A19" t="s">
        <v>567</v>
      </c>
      <c r="B19" t="s">
        <v>585</v>
      </c>
      <c r="C19" t="s">
        <v>507</v>
      </c>
      <c r="D19" t="s">
        <v>586</v>
      </c>
      <c r="E19" t="s">
        <v>605</v>
      </c>
      <c r="F19" t="s">
        <v>606</v>
      </c>
      <c r="G19" t="s">
        <v>607</v>
      </c>
    </row>
    <row r="20">
      <c r="A20" t="s">
        <v>570</v>
      </c>
      <c r="B20" t="s">
        <v>585</v>
      </c>
      <c r="C20" t="s">
        <v>608</v>
      </c>
      <c r="D20" t="s">
        <v>586</v>
      </c>
      <c r="E20" t="s">
        <v>609</v>
      </c>
      <c r="F20" t="s">
        <v>610</v>
      </c>
      <c r="G20" t="s">
        <v>611</v>
      </c>
    </row>
    <row r="21">
      <c r="A21" t="s">
        <v>574</v>
      </c>
      <c r="B21" t="s">
        <v>585</v>
      </c>
      <c r="C21" t="s">
        <v>612</v>
      </c>
      <c r="D21" t="s">
        <v>586</v>
      </c>
      <c r="E21" t="s">
        <v>613</v>
      </c>
      <c r="F21" t="s">
        <v>614</v>
      </c>
      <c r="G21" t="s">
        <v>615</v>
      </c>
    </row>
    <row r="22">
      <c r="A22" t="s">
        <v>578</v>
      </c>
      <c r="B22" t="s">
        <v>585</v>
      </c>
      <c r="C22" t="s">
        <v>616</v>
      </c>
      <c r="D22" t="s">
        <v>586</v>
      </c>
      <c r="E22" t="s">
        <v>617</v>
      </c>
      <c r="F22" t="s">
        <v>618</v>
      </c>
      <c r="G22" t="s">
        <v>619</v>
      </c>
    </row>
    <row r="23">
      <c r="A23" t="s">
        <v>370</v>
      </c>
      <c r="B23" t="s">
        <v>585</v>
      </c>
      <c r="C23" t="s">
        <v>86</v>
      </c>
      <c r="D23" t="s">
        <v>593</v>
      </c>
      <c r="E23" t="s">
        <v>620</v>
      </c>
      <c r="F23" t="s">
        <v>621</v>
      </c>
      <c r="G23" t="s">
        <v>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33.71" hidden="0" customWidth="1"/>
    <col min="3" max="3" width="12.71" hidden="0" customWidth="1"/>
    <col min="4" max="4" width="41.71" hidden="0" customWidth="1"/>
    <col min="5" max="5" width="17.71" hidden="0" customWidth="1"/>
    <col min="6" max="6" width="11.71" hidden="0" customWidth="1"/>
    <col min="7" max="7" width="11.71" hidden="0" customWidth="1"/>
  </cols>
  <sheetData>
    <row r="1">
      <c r="A1" s="1" t="s">
        <v>367</v>
      </c>
      <c r="B1" s="1" t="s">
        <v>546</v>
      </c>
      <c r="C1" s="1" t="s">
        <v>1</v>
      </c>
      <c r="D1" s="1" t="s">
        <v>547</v>
      </c>
      <c r="E1" s="1" t="s">
        <v>214</v>
      </c>
      <c r="F1" s="1" t="s">
        <v>133</v>
      </c>
      <c r="G1" s="1" t="s">
        <v>134</v>
      </c>
    </row>
    <row r="2">
      <c r="A2" t="s">
        <v>229</v>
      </c>
      <c r="B2" t="s">
        <v>548</v>
      </c>
      <c r="C2" t="s">
        <v>623</v>
      </c>
      <c r="D2" t="s">
        <v>550</v>
      </c>
      <c r="E2" t="s">
        <v>624</v>
      </c>
      <c r="F2" t="s">
        <v>41</v>
      </c>
      <c r="G2" t="s">
        <v>625</v>
      </c>
    </row>
    <row r="3">
      <c r="A3" t="s">
        <v>150</v>
      </c>
      <c r="B3" t="s">
        <v>548</v>
      </c>
      <c r="C3" t="s">
        <v>626</v>
      </c>
      <c r="D3" t="s">
        <v>550</v>
      </c>
      <c r="E3" t="s">
        <v>627</v>
      </c>
      <c r="F3" t="s">
        <v>41</v>
      </c>
      <c r="G3" t="s">
        <v>628</v>
      </c>
    </row>
    <row r="4">
      <c r="A4" t="s">
        <v>162</v>
      </c>
      <c r="B4" t="s">
        <v>548</v>
      </c>
      <c r="C4" t="s">
        <v>629</v>
      </c>
      <c r="D4" t="s">
        <v>556</v>
      </c>
      <c r="E4" t="s">
        <v>557</v>
      </c>
      <c r="F4" t="s">
        <v>41</v>
      </c>
      <c r="G4" t="s">
        <v>331</v>
      </c>
    </row>
    <row r="5">
      <c r="A5" t="s">
        <v>227</v>
      </c>
      <c r="B5" t="s">
        <v>548</v>
      </c>
      <c r="C5" t="s">
        <v>630</v>
      </c>
      <c r="D5" t="s">
        <v>550</v>
      </c>
      <c r="E5" t="s">
        <v>560</v>
      </c>
      <c r="F5" t="s">
        <v>41</v>
      </c>
      <c r="G5" t="s">
        <v>332</v>
      </c>
    </row>
    <row r="6">
      <c r="A6" t="s">
        <v>155</v>
      </c>
      <c r="B6" t="s">
        <v>548</v>
      </c>
      <c r="C6" t="s">
        <v>631</v>
      </c>
      <c r="D6" t="s">
        <v>556</v>
      </c>
      <c r="E6" t="s">
        <v>562</v>
      </c>
      <c r="F6" t="s">
        <v>41</v>
      </c>
      <c r="G6" t="s">
        <v>432</v>
      </c>
    </row>
    <row r="7">
      <c r="A7" t="s">
        <v>335</v>
      </c>
      <c r="B7" t="s">
        <v>548</v>
      </c>
      <c r="C7" t="s">
        <v>632</v>
      </c>
      <c r="D7" t="s">
        <v>550</v>
      </c>
      <c r="E7" t="s">
        <v>565</v>
      </c>
      <c r="F7" t="s">
        <v>41</v>
      </c>
      <c r="G7" t="s">
        <v>566</v>
      </c>
    </row>
    <row r="8">
      <c r="A8" t="s">
        <v>567</v>
      </c>
      <c r="B8" t="s">
        <v>548</v>
      </c>
      <c r="C8" t="s">
        <v>633</v>
      </c>
      <c r="D8" t="s">
        <v>550</v>
      </c>
      <c r="E8" t="s">
        <v>634</v>
      </c>
      <c r="F8" t="s">
        <v>41</v>
      </c>
      <c r="G8" t="s">
        <v>635</v>
      </c>
    </row>
    <row r="9">
      <c r="A9" t="s">
        <v>570</v>
      </c>
      <c r="B9" t="s">
        <v>548</v>
      </c>
      <c r="C9" t="s">
        <v>636</v>
      </c>
      <c r="D9" t="s">
        <v>550</v>
      </c>
      <c r="E9" t="s">
        <v>637</v>
      </c>
      <c r="F9" t="s">
        <v>41</v>
      </c>
      <c r="G9" t="s">
        <v>638</v>
      </c>
    </row>
    <row r="10">
      <c r="A10" t="s">
        <v>574</v>
      </c>
      <c r="B10" t="s">
        <v>548</v>
      </c>
      <c r="C10" t="s">
        <v>639</v>
      </c>
      <c r="D10" t="s">
        <v>550</v>
      </c>
      <c r="E10" t="s">
        <v>576</v>
      </c>
      <c r="F10" t="s">
        <v>41</v>
      </c>
      <c r="G10" t="s">
        <v>577</v>
      </c>
    </row>
    <row r="11">
      <c r="A11" t="s">
        <v>578</v>
      </c>
      <c r="B11" t="s">
        <v>548</v>
      </c>
      <c r="C11" t="s">
        <v>640</v>
      </c>
      <c r="D11" t="s">
        <v>550</v>
      </c>
      <c r="E11" t="s">
        <v>641</v>
      </c>
      <c r="F11" t="s">
        <v>41</v>
      </c>
      <c r="G11" t="s">
        <v>581</v>
      </c>
    </row>
    <row r="12">
      <c r="A12" t="s">
        <v>370</v>
      </c>
      <c r="B12" t="s">
        <v>548</v>
      </c>
      <c r="C12" t="s">
        <v>642</v>
      </c>
      <c r="D12" t="s">
        <v>556</v>
      </c>
      <c r="E12" t="s">
        <v>643</v>
      </c>
      <c r="F12" t="s">
        <v>41</v>
      </c>
      <c r="G12" t="s">
        <v>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33.71" hidden="0" customWidth="1"/>
    <col min="3" max="3" width="12.71" hidden="0" customWidth="1"/>
    <col min="4" max="4" width="41.71" hidden="0" customWidth="1"/>
    <col min="5" max="5" width="17.71" hidden="0" customWidth="1"/>
    <col min="6" max="6" width="19.71" hidden="0" customWidth="1"/>
    <col min="7" max="7" width="11.71" hidden="0" customWidth="1"/>
  </cols>
  <sheetData>
    <row r="1">
      <c r="A1" s="1" t="s">
        <v>367</v>
      </c>
      <c r="B1" s="1" t="s">
        <v>546</v>
      </c>
      <c r="C1" s="1" t="s">
        <v>1</v>
      </c>
      <c r="D1" s="1" t="s">
        <v>547</v>
      </c>
      <c r="E1" s="1" t="s">
        <v>214</v>
      </c>
      <c r="F1" s="1" t="s">
        <v>133</v>
      </c>
      <c r="G1" s="1" t="s">
        <v>134</v>
      </c>
    </row>
    <row r="2">
      <c r="A2" t="s">
        <v>229</v>
      </c>
      <c r="B2" t="s">
        <v>548</v>
      </c>
      <c r="C2" t="s">
        <v>645</v>
      </c>
      <c r="D2" t="s">
        <v>550</v>
      </c>
      <c r="E2" t="s">
        <v>551</v>
      </c>
      <c r="F2" t="s">
        <v>41</v>
      </c>
      <c r="G2" t="s">
        <v>646</v>
      </c>
    </row>
    <row r="3">
      <c r="A3" t="s">
        <v>150</v>
      </c>
      <c r="B3" t="s">
        <v>548</v>
      </c>
      <c r="C3" t="s">
        <v>647</v>
      </c>
      <c r="D3" t="s">
        <v>550</v>
      </c>
      <c r="E3" t="s">
        <v>648</v>
      </c>
      <c r="F3" t="s">
        <v>41</v>
      </c>
      <c r="G3" t="s">
        <v>649</v>
      </c>
    </row>
    <row r="4">
      <c r="A4" t="s">
        <v>162</v>
      </c>
      <c r="B4" t="s">
        <v>548</v>
      </c>
      <c r="C4" t="s">
        <v>650</v>
      </c>
      <c r="D4" t="s">
        <v>556</v>
      </c>
      <c r="E4" t="s">
        <v>557</v>
      </c>
      <c r="F4" t="s">
        <v>41</v>
      </c>
      <c r="G4" t="s">
        <v>651</v>
      </c>
    </row>
    <row r="5">
      <c r="A5" t="s">
        <v>227</v>
      </c>
      <c r="B5" t="s">
        <v>548</v>
      </c>
      <c r="C5" t="s">
        <v>652</v>
      </c>
      <c r="D5" t="s">
        <v>550</v>
      </c>
      <c r="E5" t="s">
        <v>653</v>
      </c>
      <c r="F5" t="s">
        <v>41</v>
      </c>
      <c r="G5" t="s">
        <v>654</v>
      </c>
    </row>
    <row r="6">
      <c r="A6" t="s">
        <v>155</v>
      </c>
      <c r="B6" t="s">
        <v>548</v>
      </c>
      <c r="C6" t="s">
        <v>655</v>
      </c>
      <c r="D6" t="s">
        <v>556</v>
      </c>
      <c r="E6" t="s">
        <v>562</v>
      </c>
      <c r="F6" t="s">
        <v>41</v>
      </c>
      <c r="G6" t="s">
        <v>656</v>
      </c>
    </row>
    <row r="7">
      <c r="A7" t="s">
        <v>335</v>
      </c>
      <c r="B7" t="s">
        <v>548</v>
      </c>
      <c r="C7" t="s">
        <v>657</v>
      </c>
      <c r="D7" t="s">
        <v>550</v>
      </c>
      <c r="E7" t="s">
        <v>658</v>
      </c>
      <c r="F7" t="s">
        <v>41</v>
      </c>
      <c r="G7" t="s">
        <v>659</v>
      </c>
    </row>
    <row r="8">
      <c r="A8" t="s">
        <v>567</v>
      </c>
      <c r="B8" t="s">
        <v>548</v>
      </c>
      <c r="C8" t="s">
        <v>660</v>
      </c>
      <c r="D8" t="s">
        <v>550</v>
      </c>
      <c r="E8" t="s">
        <v>661</v>
      </c>
      <c r="F8" t="s">
        <v>41</v>
      </c>
      <c r="G8" t="s">
        <v>662</v>
      </c>
    </row>
    <row r="9">
      <c r="A9" t="s">
        <v>570</v>
      </c>
      <c r="B9" t="s">
        <v>548</v>
      </c>
      <c r="C9" t="s">
        <v>663</v>
      </c>
      <c r="D9" t="s">
        <v>550</v>
      </c>
      <c r="E9" t="s">
        <v>664</v>
      </c>
      <c r="F9" t="s">
        <v>41</v>
      </c>
      <c r="G9" t="s">
        <v>665</v>
      </c>
    </row>
    <row r="10">
      <c r="A10" t="s">
        <v>574</v>
      </c>
      <c r="B10" t="s">
        <v>548</v>
      </c>
      <c r="C10" t="s">
        <v>666</v>
      </c>
      <c r="D10" t="s">
        <v>550</v>
      </c>
      <c r="E10" t="s">
        <v>667</v>
      </c>
      <c r="F10" t="s">
        <v>41</v>
      </c>
      <c r="G10" t="s">
        <v>668</v>
      </c>
    </row>
    <row r="11">
      <c r="A11" t="s">
        <v>578</v>
      </c>
      <c r="B11" t="s">
        <v>548</v>
      </c>
      <c r="C11" t="s">
        <v>669</v>
      </c>
      <c r="D11" t="s">
        <v>550</v>
      </c>
      <c r="E11" t="s">
        <v>670</v>
      </c>
      <c r="F11" t="s">
        <v>41</v>
      </c>
      <c r="G11" t="s">
        <v>438</v>
      </c>
    </row>
    <row r="12">
      <c r="A12" t="s">
        <v>370</v>
      </c>
      <c r="B12" t="s">
        <v>548</v>
      </c>
      <c r="C12" t="s">
        <v>671</v>
      </c>
      <c r="D12" t="s">
        <v>556</v>
      </c>
      <c r="E12" t="s">
        <v>672</v>
      </c>
      <c r="F12" t="s">
        <v>41</v>
      </c>
      <c r="G12" t="s">
        <v>673</v>
      </c>
    </row>
    <row r="13">
      <c r="A13" t="s">
        <v>229</v>
      </c>
      <c r="B13" t="s">
        <v>585</v>
      </c>
      <c r="C13" t="s">
        <v>674</v>
      </c>
      <c r="D13" t="s">
        <v>586</v>
      </c>
      <c r="E13" t="s">
        <v>675</v>
      </c>
      <c r="F13" t="s">
        <v>676</v>
      </c>
      <c r="G13" t="s">
        <v>677</v>
      </c>
    </row>
    <row r="14">
      <c r="A14" t="s">
        <v>150</v>
      </c>
      <c r="B14" t="s">
        <v>585</v>
      </c>
      <c r="C14" t="s">
        <v>678</v>
      </c>
      <c r="D14" t="s">
        <v>586</v>
      </c>
      <c r="E14" t="s">
        <v>679</v>
      </c>
      <c r="F14" t="s">
        <v>680</v>
      </c>
      <c r="G14" t="s">
        <v>681</v>
      </c>
    </row>
    <row r="15">
      <c r="A15" t="s">
        <v>162</v>
      </c>
      <c r="B15" t="s">
        <v>585</v>
      </c>
      <c r="C15" t="s">
        <v>682</v>
      </c>
      <c r="D15" t="s">
        <v>593</v>
      </c>
      <c r="E15" t="s">
        <v>332</v>
      </c>
      <c r="F15" t="s">
        <v>683</v>
      </c>
      <c r="G15" t="s">
        <v>604</v>
      </c>
    </row>
    <row r="16">
      <c r="A16" t="s">
        <v>227</v>
      </c>
      <c r="B16" t="s">
        <v>585</v>
      </c>
      <c r="C16" t="s">
        <v>684</v>
      </c>
      <c r="D16" t="s">
        <v>586</v>
      </c>
      <c r="E16" t="s">
        <v>256</v>
      </c>
      <c r="F16" t="s">
        <v>685</v>
      </c>
      <c r="G16" t="s">
        <v>686</v>
      </c>
    </row>
    <row r="17">
      <c r="A17" t="s">
        <v>155</v>
      </c>
      <c r="B17" t="s">
        <v>585</v>
      </c>
      <c r="C17" t="s">
        <v>488</v>
      </c>
      <c r="D17" t="s">
        <v>593</v>
      </c>
      <c r="E17" t="s">
        <v>310</v>
      </c>
      <c r="F17" t="s">
        <v>687</v>
      </c>
      <c r="G17" t="s">
        <v>688</v>
      </c>
    </row>
    <row r="18">
      <c r="A18" t="s">
        <v>335</v>
      </c>
      <c r="B18" t="s">
        <v>585</v>
      </c>
      <c r="C18" t="s">
        <v>689</v>
      </c>
      <c r="D18" t="s">
        <v>586</v>
      </c>
      <c r="E18" t="s">
        <v>690</v>
      </c>
      <c r="F18" t="s">
        <v>691</v>
      </c>
      <c r="G18" t="s">
        <v>692</v>
      </c>
    </row>
    <row r="19">
      <c r="A19" t="s">
        <v>567</v>
      </c>
      <c r="B19" t="s">
        <v>585</v>
      </c>
      <c r="C19" t="s">
        <v>693</v>
      </c>
      <c r="D19" t="s">
        <v>586</v>
      </c>
      <c r="E19" t="s">
        <v>694</v>
      </c>
      <c r="F19" t="s">
        <v>695</v>
      </c>
      <c r="G19" t="s">
        <v>244</v>
      </c>
    </row>
    <row r="20">
      <c r="A20" t="s">
        <v>570</v>
      </c>
      <c r="B20" t="s">
        <v>585</v>
      </c>
      <c r="C20" t="s">
        <v>233</v>
      </c>
      <c r="D20" t="s">
        <v>586</v>
      </c>
      <c r="E20" t="s">
        <v>696</v>
      </c>
      <c r="F20" t="s">
        <v>697</v>
      </c>
      <c r="G20" t="s">
        <v>698</v>
      </c>
    </row>
    <row r="21">
      <c r="A21" t="s">
        <v>574</v>
      </c>
      <c r="B21" t="s">
        <v>585</v>
      </c>
      <c r="C21" t="s">
        <v>699</v>
      </c>
      <c r="D21" t="s">
        <v>586</v>
      </c>
      <c r="E21" t="s">
        <v>700</v>
      </c>
      <c r="F21" t="s">
        <v>701</v>
      </c>
      <c r="G21" t="s">
        <v>592</v>
      </c>
    </row>
    <row r="22">
      <c r="A22" t="s">
        <v>578</v>
      </c>
      <c r="B22" t="s">
        <v>585</v>
      </c>
      <c r="C22" t="s">
        <v>516</v>
      </c>
      <c r="D22" t="s">
        <v>586</v>
      </c>
      <c r="E22" t="s">
        <v>702</v>
      </c>
      <c r="F22" t="s">
        <v>703</v>
      </c>
      <c r="G22" t="s">
        <v>704</v>
      </c>
    </row>
    <row r="23">
      <c r="A23" t="s">
        <v>370</v>
      </c>
      <c r="B23" t="s">
        <v>585</v>
      </c>
      <c r="C23" t="s">
        <v>705</v>
      </c>
      <c r="D23" t="s">
        <v>593</v>
      </c>
      <c r="E23" t="s">
        <v>706</v>
      </c>
      <c r="F23" t="s">
        <v>707</v>
      </c>
      <c r="G23" t="s">
        <v>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33.71" hidden="0" customWidth="1"/>
    <col min="3" max="3" width="11.71" hidden="0" customWidth="1"/>
    <col min="4" max="4" width="41.71" hidden="0" customWidth="1"/>
    <col min="5" max="5" width="17.71" hidden="0" customWidth="1"/>
    <col min="6" max="6" width="11.71" hidden="0" customWidth="1"/>
    <col min="7" max="7" width="11.71" hidden="0" customWidth="1"/>
  </cols>
  <sheetData>
    <row r="1">
      <c r="A1" s="1" t="s">
        <v>367</v>
      </c>
      <c r="B1" s="1" t="s">
        <v>546</v>
      </c>
      <c r="C1" s="1" t="s">
        <v>1</v>
      </c>
      <c r="D1" s="1" t="s">
        <v>547</v>
      </c>
      <c r="E1" s="1" t="s">
        <v>214</v>
      </c>
      <c r="F1" s="1" t="s">
        <v>133</v>
      </c>
      <c r="G1" s="1" t="s">
        <v>134</v>
      </c>
    </row>
    <row r="2">
      <c r="A2" t="s">
        <v>229</v>
      </c>
      <c r="B2" t="s">
        <v>548</v>
      </c>
      <c r="C2" t="s">
        <v>709</v>
      </c>
      <c r="D2" t="s">
        <v>550</v>
      </c>
      <c r="E2" t="s">
        <v>551</v>
      </c>
      <c r="F2" t="s">
        <v>41</v>
      </c>
      <c r="G2" t="s">
        <v>710</v>
      </c>
    </row>
    <row r="3">
      <c r="A3" t="s">
        <v>150</v>
      </c>
      <c r="B3" t="s">
        <v>548</v>
      </c>
      <c r="C3" t="s">
        <v>711</v>
      </c>
      <c r="D3" t="s">
        <v>550</v>
      </c>
      <c r="E3" t="s">
        <v>712</v>
      </c>
      <c r="F3" t="s">
        <v>41</v>
      </c>
      <c r="G3" t="s">
        <v>713</v>
      </c>
    </row>
    <row r="4">
      <c r="A4" t="s">
        <v>162</v>
      </c>
      <c r="B4" t="s">
        <v>548</v>
      </c>
      <c r="C4" t="s">
        <v>714</v>
      </c>
      <c r="D4" t="s">
        <v>556</v>
      </c>
      <c r="E4" t="s">
        <v>557</v>
      </c>
      <c r="F4" t="s">
        <v>41</v>
      </c>
      <c r="G4" t="s">
        <v>715</v>
      </c>
    </row>
    <row r="5">
      <c r="A5" t="s">
        <v>227</v>
      </c>
      <c r="B5" t="s">
        <v>548</v>
      </c>
      <c r="C5" t="s">
        <v>716</v>
      </c>
      <c r="D5" t="s">
        <v>550</v>
      </c>
      <c r="E5" t="s">
        <v>717</v>
      </c>
      <c r="F5" t="s">
        <v>41</v>
      </c>
      <c r="G5" t="s">
        <v>261</v>
      </c>
    </row>
    <row r="6">
      <c r="A6" t="s">
        <v>155</v>
      </c>
      <c r="B6" t="s">
        <v>548</v>
      </c>
      <c r="C6" t="s">
        <v>718</v>
      </c>
      <c r="D6" t="s">
        <v>556</v>
      </c>
      <c r="E6" t="s">
        <v>562</v>
      </c>
      <c r="F6" t="s">
        <v>41</v>
      </c>
      <c r="G6" t="s">
        <v>719</v>
      </c>
    </row>
    <row r="7">
      <c r="A7" t="s">
        <v>335</v>
      </c>
      <c r="B7" t="s">
        <v>548</v>
      </c>
      <c r="C7" t="s">
        <v>720</v>
      </c>
      <c r="D7" t="s">
        <v>550</v>
      </c>
      <c r="E7" t="s">
        <v>721</v>
      </c>
      <c r="F7" t="s">
        <v>41</v>
      </c>
      <c r="G7" t="s">
        <v>722</v>
      </c>
    </row>
    <row r="8">
      <c r="A8" t="s">
        <v>567</v>
      </c>
      <c r="B8" t="s">
        <v>548</v>
      </c>
      <c r="C8" t="s">
        <v>723</v>
      </c>
      <c r="D8" t="s">
        <v>550</v>
      </c>
      <c r="E8" t="s">
        <v>724</v>
      </c>
      <c r="F8" t="s">
        <v>41</v>
      </c>
      <c r="G8" t="s">
        <v>725</v>
      </c>
    </row>
    <row r="9">
      <c r="A9" t="s">
        <v>570</v>
      </c>
      <c r="B9" t="s">
        <v>548</v>
      </c>
      <c r="C9" t="s">
        <v>726</v>
      </c>
      <c r="D9" t="s">
        <v>550</v>
      </c>
      <c r="E9" t="s">
        <v>727</v>
      </c>
      <c r="F9" t="s">
        <v>41</v>
      </c>
      <c r="G9" t="s">
        <v>728</v>
      </c>
    </row>
    <row r="10">
      <c r="A10" t="s">
        <v>574</v>
      </c>
      <c r="B10" t="s">
        <v>548</v>
      </c>
      <c r="C10" t="s">
        <v>729</v>
      </c>
      <c r="D10" t="s">
        <v>550</v>
      </c>
      <c r="E10" t="s">
        <v>730</v>
      </c>
      <c r="F10" t="s">
        <v>41</v>
      </c>
      <c r="G10" t="s">
        <v>731</v>
      </c>
    </row>
    <row r="11">
      <c r="A11" t="s">
        <v>578</v>
      </c>
      <c r="B11" t="s">
        <v>548</v>
      </c>
      <c r="C11" t="s">
        <v>732</v>
      </c>
      <c r="D11" t="s">
        <v>550</v>
      </c>
      <c r="E11" t="s">
        <v>733</v>
      </c>
      <c r="F11" t="s">
        <v>41</v>
      </c>
      <c r="G11" t="s">
        <v>734</v>
      </c>
    </row>
    <row r="12">
      <c r="A12" t="s">
        <v>370</v>
      </c>
      <c r="B12" t="s">
        <v>548</v>
      </c>
      <c r="C12" t="s">
        <v>735</v>
      </c>
      <c r="D12" t="s">
        <v>556</v>
      </c>
      <c r="E12" t="s">
        <v>736</v>
      </c>
      <c r="F12" t="s">
        <v>41</v>
      </c>
      <c r="G12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33.71" hidden="0" customWidth="1"/>
    <col min="3" max="3" width="11.71" hidden="0" customWidth="1"/>
    <col min="4" max="4" width="41.71" hidden="0" customWidth="1"/>
    <col min="5" max="5" width="17.71" hidden="0" customWidth="1"/>
    <col min="6" max="6" width="11.71" hidden="0" customWidth="1"/>
    <col min="7" max="7" width="11.71" hidden="0" customWidth="1"/>
  </cols>
  <sheetData>
    <row r="1">
      <c r="A1" s="1" t="s">
        <v>367</v>
      </c>
      <c r="B1" s="1" t="s">
        <v>546</v>
      </c>
      <c r="C1" s="1" t="s">
        <v>1</v>
      </c>
      <c r="D1" s="1" t="s">
        <v>547</v>
      </c>
      <c r="E1" s="1" t="s">
        <v>214</v>
      </c>
      <c r="F1" s="1" t="s">
        <v>133</v>
      </c>
      <c r="G1" s="1" t="s">
        <v>134</v>
      </c>
    </row>
    <row r="2">
      <c r="A2" t="s">
        <v>229</v>
      </c>
      <c r="B2" t="s">
        <v>548</v>
      </c>
      <c r="C2" t="s">
        <v>737</v>
      </c>
      <c r="D2" t="s">
        <v>550</v>
      </c>
      <c r="E2" t="s">
        <v>738</v>
      </c>
      <c r="F2" t="s">
        <v>41</v>
      </c>
      <c r="G2" t="s">
        <v>731</v>
      </c>
    </row>
    <row r="3">
      <c r="A3" t="s">
        <v>150</v>
      </c>
      <c r="B3" t="s">
        <v>548</v>
      </c>
      <c r="C3" t="s">
        <v>739</v>
      </c>
      <c r="D3" t="s">
        <v>550</v>
      </c>
      <c r="E3" t="s">
        <v>740</v>
      </c>
      <c r="F3" t="s">
        <v>41</v>
      </c>
      <c r="G3" t="s">
        <v>741</v>
      </c>
    </row>
    <row r="4">
      <c r="A4" t="s">
        <v>162</v>
      </c>
      <c r="B4" t="s">
        <v>548</v>
      </c>
      <c r="C4" t="s">
        <v>742</v>
      </c>
      <c r="D4" t="s">
        <v>556</v>
      </c>
      <c r="E4" t="s">
        <v>557</v>
      </c>
      <c r="F4" t="s">
        <v>41</v>
      </c>
      <c r="G4" t="s">
        <v>244</v>
      </c>
    </row>
    <row r="5">
      <c r="A5" t="s">
        <v>227</v>
      </c>
      <c r="B5" t="s">
        <v>548</v>
      </c>
      <c r="C5" t="s">
        <v>743</v>
      </c>
      <c r="D5" t="s">
        <v>550</v>
      </c>
      <c r="E5" t="s">
        <v>744</v>
      </c>
      <c r="F5" t="s">
        <v>41</v>
      </c>
      <c r="G5" t="s">
        <v>745</v>
      </c>
    </row>
    <row r="6">
      <c r="A6" t="s">
        <v>155</v>
      </c>
      <c r="B6" t="s">
        <v>548</v>
      </c>
      <c r="C6" t="s">
        <v>746</v>
      </c>
      <c r="D6" t="s">
        <v>556</v>
      </c>
      <c r="E6" t="s">
        <v>562</v>
      </c>
      <c r="F6" t="s">
        <v>41</v>
      </c>
      <c r="G6" t="s">
        <v>747</v>
      </c>
    </row>
    <row r="7">
      <c r="A7" t="s">
        <v>335</v>
      </c>
      <c r="B7" t="s">
        <v>548</v>
      </c>
      <c r="C7" t="s">
        <v>748</v>
      </c>
      <c r="D7" t="s">
        <v>550</v>
      </c>
      <c r="E7" t="s">
        <v>749</v>
      </c>
      <c r="F7" t="s">
        <v>41</v>
      </c>
      <c r="G7" t="s">
        <v>261</v>
      </c>
    </row>
    <row r="8">
      <c r="A8" t="s">
        <v>567</v>
      </c>
      <c r="B8" t="s">
        <v>548</v>
      </c>
      <c r="C8" t="s">
        <v>750</v>
      </c>
      <c r="D8" t="s">
        <v>550</v>
      </c>
      <c r="E8" t="s">
        <v>751</v>
      </c>
      <c r="F8" t="s">
        <v>41</v>
      </c>
      <c r="G8" t="s">
        <v>456</v>
      </c>
    </row>
    <row r="9">
      <c r="A9" t="s">
        <v>570</v>
      </c>
      <c r="B9" t="s">
        <v>548</v>
      </c>
      <c r="C9" t="s">
        <v>752</v>
      </c>
      <c r="D9" t="s">
        <v>550</v>
      </c>
      <c r="E9" t="s">
        <v>753</v>
      </c>
      <c r="F9" t="s">
        <v>41</v>
      </c>
      <c r="G9" t="s">
        <v>754</v>
      </c>
    </row>
    <row r="10">
      <c r="A10" t="s">
        <v>574</v>
      </c>
      <c r="B10" t="s">
        <v>548</v>
      </c>
      <c r="C10" t="s">
        <v>755</v>
      </c>
      <c r="D10" t="s">
        <v>550</v>
      </c>
      <c r="E10" t="s">
        <v>756</v>
      </c>
      <c r="F10" t="s">
        <v>41</v>
      </c>
      <c r="G10" t="s">
        <v>757</v>
      </c>
    </row>
    <row r="11">
      <c r="A11" t="s">
        <v>578</v>
      </c>
      <c r="B11" t="s">
        <v>548</v>
      </c>
      <c r="C11" t="s">
        <v>758</v>
      </c>
      <c r="D11" t="s">
        <v>550</v>
      </c>
      <c r="E11" t="s">
        <v>759</v>
      </c>
      <c r="F11" t="s">
        <v>41</v>
      </c>
      <c r="G11" t="s">
        <v>760</v>
      </c>
    </row>
    <row r="12">
      <c r="A12" t="s">
        <v>370</v>
      </c>
      <c r="B12" t="s">
        <v>548</v>
      </c>
      <c r="C12" t="s">
        <v>761</v>
      </c>
      <c r="D12" t="s">
        <v>556</v>
      </c>
      <c r="E12" t="s">
        <v>762</v>
      </c>
      <c r="F12" t="s">
        <v>41</v>
      </c>
      <c r="G12" t="s">
        <v>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37.71" hidden="0" customWidth="1"/>
    <col min="3" max="3" width="26.71" hidden="0" customWidth="1"/>
    <col min="4" max="4" width="11.71" hidden="0" customWidth="1"/>
    <col min="5" max="5" width="18.71" hidden="0" customWidth="1"/>
    <col min="6" max="6" width="11.71" hidden="0" customWidth="1"/>
    <col min="7" max="7" width="11.71" hidden="0" customWidth="1"/>
  </cols>
  <sheetData>
    <row r="1">
      <c r="A1" s="1" t="s">
        <v>764</v>
      </c>
      <c r="B1" s="1" t="s">
        <v>765</v>
      </c>
      <c r="C1" s="1" t="s">
        <v>367</v>
      </c>
      <c r="D1" s="1" t="s">
        <v>1</v>
      </c>
      <c r="E1" s="1" t="s">
        <v>766</v>
      </c>
      <c r="F1" s="1" t="s">
        <v>134</v>
      </c>
      <c r="G1" s="1" t="s">
        <v>161</v>
      </c>
    </row>
    <row r="2">
      <c r="A2" t="s">
        <v>767</v>
      </c>
      <c r="B2" t="s">
        <v>768</v>
      </c>
      <c r="C2" t="s">
        <v>370</v>
      </c>
      <c r="D2" t="s">
        <v>86</v>
      </c>
      <c r="E2" t="s">
        <v>769</v>
      </c>
      <c r="F2" t="s">
        <v>770</v>
      </c>
      <c r="G2" t="s">
        <v>325</v>
      </c>
    </row>
    <row r="3">
      <c r="A3" t="s">
        <v>767</v>
      </c>
      <c r="B3" t="s">
        <v>768</v>
      </c>
      <c r="C3" t="s">
        <v>150</v>
      </c>
      <c r="D3" t="s">
        <v>167</v>
      </c>
      <c r="E3" t="s">
        <v>771</v>
      </c>
      <c r="F3" t="s">
        <v>348</v>
      </c>
      <c r="G3" t="s">
        <v>731</v>
      </c>
    </row>
    <row r="4">
      <c r="A4" t="s">
        <v>767</v>
      </c>
      <c r="B4" t="s">
        <v>768</v>
      </c>
      <c r="C4" t="s">
        <v>227</v>
      </c>
      <c r="D4" t="s">
        <v>464</v>
      </c>
      <c r="E4" t="s">
        <v>772</v>
      </c>
      <c r="F4" t="s">
        <v>773</v>
      </c>
      <c r="G4" t="s">
        <v>731</v>
      </c>
    </row>
    <row r="5">
      <c r="A5" t="s">
        <v>767</v>
      </c>
      <c r="B5" t="s">
        <v>768</v>
      </c>
      <c r="C5" t="s">
        <v>155</v>
      </c>
      <c r="D5" t="s">
        <v>175</v>
      </c>
      <c r="E5" t="s">
        <v>774</v>
      </c>
      <c r="F5" t="s">
        <v>205</v>
      </c>
      <c r="G5" t="s">
        <v>325</v>
      </c>
    </row>
    <row r="6">
      <c r="A6" t="s">
        <v>767</v>
      </c>
      <c r="B6" t="s">
        <v>768</v>
      </c>
      <c r="C6" t="s">
        <v>335</v>
      </c>
      <c r="D6" t="s">
        <v>601</v>
      </c>
      <c r="E6" t="s">
        <v>775</v>
      </c>
      <c r="F6" t="s">
        <v>731</v>
      </c>
      <c r="G6" t="s">
        <v>731</v>
      </c>
    </row>
    <row r="7">
      <c r="A7" t="s">
        <v>767</v>
      </c>
      <c r="B7" t="s">
        <v>768</v>
      </c>
      <c r="C7" t="s">
        <v>229</v>
      </c>
      <c r="D7" t="s">
        <v>70</v>
      </c>
      <c r="E7" t="s">
        <v>776</v>
      </c>
      <c r="F7" t="s">
        <v>731</v>
      </c>
      <c r="G7" t="s">
        <v>731</v>
      </c>
    </row>
    <row r="8">
      <c r="A8" t="s">
        <v>767</v>
      </c>
      <c r="B8" t="s">
        <v>768</v>
      </c>
      <c r="C8" t="s">
        <v>162</v>
      </c>
      <c r="D8" t="s">
        <v>163</v>
      </c>
      <c r="E8" t="s">
        <v>228</v>
      </c>
      <c r="F8" t="s">
        <v>777</v>
      </c>
      <c r="G8" t="s">
        <v>325</v>
      </c>
    </row>
    <row r="9">
      <c r="A9" t="s">
        <v>778</v>
      </c>
      <c r="B9" t="s">
        <v>768</v>
      </c>
      <c r="C9" t="s">
        <v>370</v>
      </c>
      <c r="D9" t="s">
        <v>86</v>
      </c>
      <c r="E9" t="s">
        <v>779</v>
      </c>
      <c r="F9" t="s">
        <v>780</v>
      </c>
      <c r="G9" t="s">
        <v>325</v>
      </c>
    </row>
    <row r="10">
      <c r="A10" t="s">
        <v>778</v>
      </c>
      <c r="B10" t="s">
        <v>768</v>
      </c>
      <c r="C10" t="s">
        <v>567</v>
      </c>
      <c r="D10" t="s">
        <v>507</v>
      </c>
      <c r="E10" t="s">
        <v>781</v>
      </c>
      <c r="F10" t="s">
        <v>731</v>
      </c>
      <c r="G10" t="s">
        <v>731</v>
      </c>
    </row>
    <row r="11">
      <c r="A11" t="s">
        <v>778</v>
      </c>
      <c r="B11" t="s">
        <v>768</v>
      </c>
      <c r="C11" t="s">
        <v>150</v>
      </c>
      <c r="D11" t="s">
        <v>167</v>
      </c>
      <c r="E11" t="s">
        <v>782</v>
      </c>
      <c r="F11" t="s">
        <v>731</v>
      </c>
      <c r="G11" t="s">
        <v>731</v>
      </c>
    </row>
    <row r="12">
      <c r="A12" t="s">
        <v>778</v>
      </c>
      <c r="B12" t="s">
        <v>768</v>
      </c>
      <c r="C12" t="s">
        <v>227</v>
      </c>
      <c r="D12" t="s">
        <v>464</v>
      </c>
      <c r="E12" t="s">
        <v>306</v>
      </c>
      <c r="F12" t="s">
        <v>731</v>
      </c>
      <c r="G12" t="s">
        <v>731</v>
      </c>
    </row>
    <row r="13">
      <c r="A13" t="s">
        <v>778</v>
      </c>
      <c r="B13" t="s">
        <v>768</v>
      </c>
      <c r="C13" t="s">
        <v>155</v>
      </c>
      <c r="D13" t="s">
        <v>175</v>
      </c>
      <c r="E13" t="s">
        <v>310</v>
      </c>
      <c r="F13" t="s">
        <v>158</v>
      </c>
      <c r="G13" t="s">
        <v>731</v>
      </c>
    </row>
    <row r="14">
      <c r="A14" t="s">
        <v>778</v>
      </c>
      <c r="B14" t="s">
        <v>768</v>
      </c>
      <c r="C14" t="s">
        <v>335</v>
      </c>
      <c r="D14" t="s">
        <v>601</v>
      </c>
      <c r="E14" t="s">
        <v>783</v>
      </c>
      <c r="F14" t="s">
        <v>731</v>
      </c>
      <c r="G14" t="s">
        <v>731</v>
      </c>
    </row>
    <row r="15">
      <c r="A15" t="s">
        <v>778</v>
      </c>
      <c r="B15" t="s">
        <v>768</v>
      </c>
      <c r="C15" t="s">
        <v>229</v>
      </c>
      <c r="D15" t="s">
        <v>70</v>
      </c>
      <c r="E15" t="s">
        <v>784</v>
      </c>
      <c r="F15" t="s">
        <v>731</v>
      </c>
      <c r="G15" t="s">
        <v>731</v>
      </c>
    </row>
    <row r="16">
      <c r="A16" t="s">
        <v>778</v>
      </c>
      <c r="B16" t="s">
        <v>768</v>
      </c>
      <c r="C16" t="s">
        <v>162</v>
      </c>
      <c r="D16" t="s">
        <v>163</v>
      </c>
      <c r="E16" t="s">
        <v>785</v>
      </c>
      <c r="F16" t="s">
        <v>786</v>
      </c>
      <c r="G16" t="s">
        <v>731</v>
      </c>
    </row>
    <row r="17">
      <c r="A17" t="s">
        <v>787</v>
      </c>
      <c r="B17" t="s">
        <v>768</v>
      </c>
      <c r="C17" t="s">
        <v>370</v>
      </c>
      <c r="D17" t="s">
        <v>86</v>
      </c>
      <c r="E17" t="s">
        <v>788</v>
      </c>
      <c r="F17" t="s">
        <v>789</v>
      </c>
      <c r="G17" t="s">
        <v>731</v>
      </c>
    </row>
    <row r="18">
      <c r="A18" t="s">
        <v>787</v>
      </c>
      <c r="B18" t="s">
        <v>768</v>
      </c>
      <c r="C18" t="s">
        <v>567</v>
      </c>
      <c r="D18" t="s">
        <v>507</v>
      </c>
      <c r="E18" t="s">
        <v>790</v>
      </c>
      <c r="F18" t="s">
        <v>791</v>
      </c>
      <c r="G18" t="s">
        <v>731</v>
      </c>
    </row>
    <row r="19">
      <c r="A19" t="s">
        <v>787</v>
      </c>
      <c r="B19" t="s">
        <v>768</v>
      </c>
      <c r="C19" t="s">
        <v>150</v>
      </c>
      <c r="D19" t="s">
        <v>167</v>
      </c>
      <c r="E19" t="s">
        <v>792</v>
      </c>
      <c r="F19" t="s">
        <v>793</v>
      </c>
      <c r="G19" t="s">
        <v>325</v>
      </c>
    </row>
    <row r="20">
      <c r="A20" t="s">
        <v>787</v>
      </c>
      <c r="B20" t="s">
        <v>768</v>
      </c>
      <c r="C20" t="s">
        <v>227</v>
      </c>
      <c r="D20" t="s">
        <v>464</v>
      </c>
      <c r="E20" t="s">
        <v>794</v>
      </c>
      <c r="F20" t="s">
        <v>795</v>
      </c>
      <c r="G20" t="s">
        <v>731</v>
      </c>
    </row>
    <row r="21">
      <c r="A21" t="s">
        <v>787</v>
      </c>
      <c r="B21" t="s">
        <v>768</v>
      </c>
      <c r="C21" t="s">
        <v>155</v>
      </c>
      <c r="D21" t="s">
        <v>175</v>
      </c>
      <c r="E21" t="s">
        <v>510</v>
      </c>
      <c r="F21" t="s">
        <v>796</v>
      </c>
      <c r="G21" t="s">
        <v>731</v>
      </c>
    </row>
    <row r="22">
      <c r="A22" t="s">
        <v>787</v>
      </c>
      <c r="B22" t="s">
        <v>768</v>
      </c>
      <c r="C22" t="s">
        <v>335</v>
      </c>
      <c r="D22" t="s">
        <v>601</v>
      </c>
      <c r="E22" t="s">
        <v>797</v>
      </c>
      <c r="F22" t="s">
        <v>312</v>
      </c>
      <c r="G22" t="s">
        <v>731</v>
      </c>
    </row>
    <row r="23">
      <c r="A23" t="s">
        <v>787</v>
      </c>
      <c r="B23" t="s">
        <v>768</v>
      </c>
      <c r="C23" t="s">
        <v>229</v>
      </c>
      <c r="D23" t="s">
        <v>70</v>
      </c>
      <c r="E23" t="s">
        <v>798</v>
      </c>
      <c r="F23" t="s">
        <v>799</v>
      </c>
      <c r="G23" t="s">
        <v>731</v>
      </c>
    </row>
    <row r="24">
      <c r="A24" t="s">
        <v>787</v>
      </c>
      <c r="B24" t="s">
        <v>768</v>
      </c>
      <c r="C24" t="s">
        <v>162</v>
      </c>
      <c r="D24" t="s">
        <v>163</v>
      </c>
      <c r="E24" t="s">
        <v>800</v>
      </c>
      <c r="F24" t="s">
        <v>170</v>
      </c>
      <c r="G24" t="s">
        <v>731</v>
      </c>
    </row>
    <row r="25">
      <c r="A25" t="s">
        <v>801</v>
      </c>
      <c r="B25" t="s">
        <v>768</v>
      </c>
      <c r="C25" t="s">
        <v>370</v>
      </c>
      <c r="D25" t="s">
        <v>86</v>
      </c>
      <c r="E25" t="s">
        <v>802</v>
      </c>
      <c r="F25" t="s">
        <v>312</v>
      </c>
      <c r="G25" t="s">
        <v>731</v>
      </c>
    </row>
    <row r="26">
      <c r="A26" t="s">
        <v>801</v>
      </c>
      <c r="B26" t="s">
        <v>768</v>
      </c>
      <c r="C26" t="s">
        <v>567</v>
      </c>
      <c r="D26" t="s">
        <v>507</v>
      </c>
      <c r="E26" t="s">
        <v>310</v>
      </c>
      <c r="F26" t="s">
        <v>803</v>
      </c>
      <c r="G26" t="s">
        <v>731</v>
      </c>
    </row>
    <row r="27">
      <c r="A27" t="s">
        <v>801</v>
      </c>
      <c r="B27" t="s">
        <v>768</v>
      </c>
      <c r="C27" t="s">
        <v>150</v>
      </c>
      <c r="D27" t="s">
        <v>167</v>
      </c>
      <c r="E27" t="s">
        <v>804</v>
      </c>
      <c r="F27" t="s">
        <v>805</v>
      </c>
      <c r="G27" t="s">
        <v>806</v>
      </c>
    </row>
    <row r="28">
      <c r="A28" t="s">
        <v>801</v>
      </c>
      <c r="B28" t="s">
        <v>768</v>
      </c>
      <c r="C28" t="s">
        <v>227</v>
      </c>
      <c r="D28" t="s">
        <v>464</v>
      </c>
      <c r="E28" t="s">
        <v>807</v>
      </c>
      <c r="F28" t="s">
        <v>780</v>
      </c>
      <c r="G28" t="s">
        <v>325</v>
      </c>
    </row>
    <row r="29">
      <c r="A29" t="s">
        <v>801</v>
      </c>
      <c r="B29" t="s">
        <v>768</v>
      </c>
      <c r="C29" t="s">
        <v>155</v>
      </c>
      <c r="D29" t="s">
        <v>175</v>
      </c>
      <c r="E29" t="s">
        <v>808</v>
      </c>
      <c r="F29" t="s">
        <v>809</v>
      </c>
      <c r="G29" t="s">
        <v>731</v>
      </c>
    </row>
    <row r="30">
      <c r="A30" t="s">
        <v>801</v>
      </c>
      <c r="B30" t="s">
        <v>768</v>
      </c>
      <c r="C30" t="s">
        <v>335</v>
      </c>
      <c r="D30" t="s">
        <v>601</v>
      </c>
      <c r="E30" t="s">
        <v>810</v>
      </c>
      <c r="F30" t="s">
        <v>811</v>
      </c>
      <c r="G30" t="s">
        <v>325</v>
      </c>
    </row>
    <row r="31">
      <c r="A31" t="s">
        <v>801</v>
      </c>
      <c r="B31" t="s">
        <v>768</v>
      </c>
      <c r="C31" t="s">
        <v>229</v>
      </c>
      <c r="D31" t="s">
        <v>70</v>
      </c>
      <c r="E31" t="s">
        <v>812</v>
      </c>
      <c r="F31" t="s">
        <v>813</v>
      </c>
      <c r="G31" t="s">
        <v>731</v>
      </c>
    </row>
    <row r="32">
      <c r="A32" t="s">
        <v>801</v>
      </c>
      <c r="B32" t="s">
        <v>768</v>
      </c>
      <c r="C32" t="s">
        <v>162</v>
      </c>
      <c r="D32" t="s">
        <v>163</v>
      </c>
      <c r="E32" t="s">
        <v>814</v>
      </c>
      <c r="F32" t="s">
        <v>815</v>
      </c>
      <c r="G32" t="s">
        <v>731</v>
      </c>
    </row>
    <row r="33">
      <c r="A33" t="s">
        <v>816</v>
      </c>
      <c r="B33" t="s">
        <v>768</v>
      </c>
      <c r="C33" t="s">
        <v>370</v>
      </c>
      <c r="D33" t="s">
        <v>86</v>
      </c>
      <c r="E33" t="s">
        <v>817</v>
      </c>
      <c r="F33" t="s">
        <v>818</v>
      </c>
      <c r="G33" t="s">
        <v>325</v>
      </c>
    </row>
    <row r="34">
      <c r="A34" t="s">
        <v>816</v>
      </c>
      <c r="B34" t="s">
        <v>768</v>
      </c>
      <c r="C34" t="s">
        <v>567</v>
      </c>
      <c r="D34" t="s">
        <v>507</v>
      </c>
      <c r="E34" t="s">
        <v>819</v>
      </c>
      <c r="F34" t="s">
        <v>820</v>
      </c>
      <c r="G34" t="s">
        <v>325</v>
      </c>
    </row>
    <row r="35">
      <c r="A35" t="s">
        <v>816</v>
      </c>
      <c r="B35" t="s">
        <v>768</v>
      </c>
      <c r="C35" t="s">
        <v>150</v>
      </c>
      <c r="D35" t="s">
        <v>167</v>
      </c>
      <c r="E35" t="s">
        <v>821</v>
      </c>
      <c r="F35" t="s">
        <v>822</v>
      </c>
      <c r="G35" t="s">
        <v>823</v>
      </c>
    </row>
    <row r="36">
      <c r="A36" t="s">
        <v>816</v>
      </c>
      <c r="B36" t="s">
        <v>768</v>
      </c>
      <c r="C36" t="s">
        <v>227</v>
      </c>
      <c r="D36" t="s">
        <v>464</v>
      </c>
      <c r="E36" t="s">
        <v>824</v>
      </c>
      <c r="F36" t="s">
        <v>825</v>
      </c>
      <c r="G36" t="s">
        <v>806</v>
      </c>
    </row>
    <row r="37">
      <c r="A37" t="s">
        <v>816</v>
      </c>
      <c r="B37" t="s">
        <v>768</v>
      </c>
      <c r="C37" t="s">
        <v>155</v>
      </c>
      <c r="D37" t="s">
        <v>175</v>
      </c>
      <c r="E37" t="s">
        <v>826</v>
      </c>
      <c r="F37" t="s">
        <v>226</v>
      </c>
      <c r="G37" t="s">
        <v>731</v>
      </c>
    </row>
    <row r="38">
      <c r="A38" t="s">
        <v>816</v>
      </c>
      <c r="B38" t="s">
        <v>768</v>
      </c>
      <c r="C38" t="s">
        <v>335</v>
      </c>
      <c r="D38" t="s">
        <v>601</v>
      </c>
      <c r="E38" t="s">
        <v>827</v>
      </c>
      <c r="F38" t="s">
        <v>828</v>
      </c>
      <c r="G38" t="s">
        <v>325</v>
      </c>
    </row>
    <row r="39">
      <c r="A39" t="s">
        <v>816</v>
      </c>
      <c r="B39" t="s">
        <v>768</v>
      </c>
      <c r="C39" t="s">
        <v>229</v>
      </c>
      <c r="D39" t="s">
        <v>70</v>
      </c>
      <c r="E39" t="s">
        <v>814</v>
      </c>
      <c r="F39" t="s">
        <v>829</v>
      </c>
      <c r="G39" t="s">
        <v>731</v>
      </c>
    </row>
    <row r="40">
      <c r="A40" t="s">
        <v>816</v>
      </c>
      <c r="B40" t="s">
        <v>768</v>
      </c>
      <c r="C40" t="s">
        <v>162</v>
      </c>
      <c r="D40" t="s">
        <v>163</v>
      </c>
      <c r="E40" t="s">
        <v>830</v>
      </c>
      <c r="F40" t="s">
        <v>831</v>
      </c>
      <c r="G40" t="s">
        <v>325</v>
      </c>
    </row>
    <row r="41">
      <c r="A41" t="s">
        <v>832</v>
      </c>
      <c r="B41" t="s">
        <v>833</v>
      </c>
      <c r="C41" t="s">
        <v>370</v>
      </c>
      <c r="D41" t="s">
        <v>705</v>
      </c>
      <c r="E41" t="s">
        <v>834</v>
      </c>
      <c r="F41" t="s">
        <v>301</v>
      </c>
      <c r="G41" t="s">
        <v>835</v>
      </c>
    </row>
    <row r="42">
      <c r="A42" t="s">
        <v>832</v>
      </c>
      <c r="B42" t="s">
        <v>833</v>
      </c>
      <c r="C42" t="s">
        <v>567</v>
      </c>
      <c r="D42" t="s">
        <v>693</v>
      </c>
      <c r="E42" t="s">
        <v>836</v>
      </c>
      <c r="F42" t="s">
        <v>322</v>
      </c>
      <c r="G42" t="s">
        <v>837</v>
      </c>
    </row>
    <row r="43">
      <c r="A43" t="s">
        <v>832</v>
      </c>
      <c r="B43" t="s">
        <v>833</v>
      </c>
      <c r="C43" t="s">
        <v>150</v>
      </c>
      <c r="D43" t="s">
        <v>678</v>
      </c>
      <c r="E43" t="s">
        <v>838</v>
      </c>
      <c r="F43" t="s">
        <v>839</v>
      </c>
      <c r="G43" t="s">
        <v>840</v>
      </c>
    </row>
    <row r="44">
      <c r="A44" t="s">
        <v>832</v>
      </c>
      <c r="B44" t="s">
        <v>833</v>
      </c>
      <c r="C44" t="s">
        <v>227</v>
      </c>
      <c r="D44" t="s">
        <v>684</v>
      </c>
      <c r="E44" t="s">
        <v>841</v>
      </c>
      <c r="F44" t="s">
        <v>625</v>
      </c>
      <c r="G44" t="s">
        <v>835</v>
      </c>
    </row>
    <row r="45">
      <c r="A45" t="s">
        <v>832</v>
      </c>
      <c r="B45" t="s">
        <v>833</v>
      </c>
      <c r="C45" t="s">
        <v>155</v>
      </c>
      <c r="D45" t="s">
        <v>488</v>
      </c>
      <c r="E45" t="s">
        <v>491</v>
      </c>
      <c r="F45" t="s">
        <v>773</v>
      </c>
      <c r="G45" t="s">
        <v>731</v>
      </c>
    </row>
    <row r="46">
      <c r="A46" t="s">
        <v>832</v>
      </c>
      <c r="B46" t="s">
        <v>833</v>
      </c>
      <c r="C46" t="s">
        <v>335</v>
      </c>
      <c r="D46" t="s">
        <v>689</v>
      </c>
      <c r="E46" t="s">
        <v>842</v>
      </c>
      <c r="F46" t="s">
        <v>843</v>
      </c>
      <c r="G46" t="s">
        <v>835</v>
      </c>
    </row>
    <row r="47">
      <c r="A47" t="s">
        <v>832</v>
      </c>
      <c r="B47" t="s">
        <v>833</v>
      </c>
      <c r="C47" t="s">
        <v>229</v>
      </c>
      <c r="D47" t="s">
        <v>674</v>
      </c>
      <c r="E47" t="s">
        <v>844</v>
      </c>
      <c r="F47" t="s">
        <v>845</v>
      </c>
      <c r="G47" t="s">
        <v>438</v>
      </c>
    </row>
    <row r="48">
      <c r="A48" t="s">
        <v>832</v>
      </c>
      <c r="B48" t="s">
        <v>833</v>
      </c>
      <c r="C48" t="s">
        <v>162</v>
      </c>
      <c r="D48" t="s">
        <v>682</v>
      </c>
      <c r="E48" t="s">
        <v>846</v>
      </c>
      <c r="F48" t="s">
        <v>847</v>
      </c>
      <c r="G48" t="s">
        <v>355</v>
      </c>
    </row>
    <row r="49">
      <c r="A49" t="s">
        <v>832</v>
      </c>
      <c r="B49" t="s">
        <v>848</v>
      </c>
      <c r="C49" t="s">
        <v>370</v>
      </c>
      <c r="D49" t="s">
        <v>849</v>
      </c>
      <c r="E49" t="s">
        <v>850</v>
      </c>
      <c r="F49" t="s">
        <v>696</v>
      </c>
      <c r="G49" t="s">
        <v>835</v>
      </c>
    </row>
    <row r="50">
      <c r="A50" t="s">
        <v>832</v>
      </c>
      <c r="B50" t="s">
        <v>848</v>
      </c>
      <c r="C50" t="s">
        <v>567</v>
      </c>
      <c r="D50" t="s">
        <v>14</v>
      </c>
      <c r="E50" t="s">
        <v>851</v>
      </c>
      <c r="F50" t="s">
        <v>852</v>
      </c>
      <c r="G50" t="s">
        <v>835</v>
      </c>
    </row>
    <row r="51">
      <c r="A51" t="s">
        <v>832</v>
      </c>
      <c r="B51" t="s">
        <v>848</v>
      </c>
      <c r="C51" t="s">
        <v>150</v>
      </c>
      <c r="D51" t="s">
        <v>853</v>
      </c>
      <c r="E51" t="s">
        <v>854</v>
      </c>
      <c r="F51" t="s">
        <v>855</v>
      </c>
      <c r="G51" t="s">
        <v>837</v>
      </c>
    </row>
    <row r="52">
      <c r="A52" t="s">
        <v>832</v>
      </c>
      <c r="B52" t="s">
        <v>848</v>
      </c>
      <c r="C52" t="s">
        <v>227</v>
      </c>
      <c r="D52" t="s">
        <v>856</v>
      </c>
      <c r="E52" t="s">
        <v>857</v>
      </c>
      <c r="F52" t="s">
        <v>858</v>
      </c>
      <c r="G52" t="s">
        <v>835</v>
      </c>
    </row>
    <row r="53">
      <c r="A53" t="s">
        <v>832</v>
      </c>
      <c r="B53" t="s">
        <v>848</v>
      </c>
      <c r="C53" t="s">
        <v>155</v>
      </c>
      <c r="D53" t="s">
        <v>859</v>
      </c>
      <c r="E53" t="s">
        <v>860</v>
      </c>
      <c r="F53" t="s">
        <v>861</v>
      </c>
      <c r="G53" t="s">
        <v>835</v>
      </c>
    </row>
    <row r="54">
      <c r="A54" t="s">
        <v>832</v>
      </c>
      <c r="B54" t="s">
        <v>848</v>
      </c>
      <c r="C54" t="s">
        <v>335</v>
      </c>
      <c r="D54" t="s">
        <v>542</v>
      </c>
      <c r="E54" t="s">
        <v>862</v>
      </c>
      <c r="F54" t="s">
        <v>731</v>
      </c>
      <c r="G54" t="s">
        <v>731</v>
      </c>
    </row>
    <row r="55">
      <c r="A55" t="s">
        <v>832</v>
      </c>
      <c r="B55" t="s">
        <v>848</v>
      </c>
      <c r="C55" t="s">
        <v>229</v>
      </c>
      <c r="D55" t="s">
        <v>863</v>
      </c>
      <c r="E55" t="s">
        <v>864</v>
      </c>
      <c r="F55" t="s">
        <v>865</v>
      </c>
      <c r="G55" t="s">
        <v>866</v>
      </c>
    </row>
    <row r="56">
      <c r="A56" t="s">
        <v>832</v>
      </c>
      <c r="B56" t="s">
        <v>848</v>
      </c>
      <c r="C56" t="s">
        <v>162</v>
      </c>
      <c r="D56" t="s">
        <v>867</v>
      </c>
      <c r="E56" t="s">
        <v>868</v>
      </c>
      <c r="F56" t="s">
        <v>869</v>
      </c>
      <c r="G56" t="s">
        <v>835</v>
      </c>
    </row>
    <row r="57">
      <c r="A57" t="s">
        <v>832</v>
      </c>
      <c r="B57" t="s">
        <v>768</v>
      </c>
      <c r="C57" t="s">
        <v>370</v>
      </c>
      <c r="D57" t="s">
        <v>86</v>
      </c>
      <c r="E57" t="s">
        <v>870</v>
      </c>
      <c r="F57" t="s">
        <v>871</v>
      </c>
      <c r="G57" t="s">
        <v>872</v>
      </c>
    </row>
    <row r="58">
      <c r="A58" t="s">
        <v>832</v>
      </c>
      <c r="B58" t="s">
        <v>768</v>
      </c>
      <c r="C58" t="s">
        <v>567</v>
      </c>
      <c r="D58" t="s">
        <v>507</v>
      </c>
      <c r="E58" t="s">
        <v>873</v>
      </c>
      <c r="F58" t="s">
        <v>874</v>
      </c>
      <c r="G58" t="s">
        <v>325</v>
      </c>
    </row>
    <row r="59">
      <c r="A59" t="s">
        <v>832</v>
      </c>
      <c r="B59" t="s">
        <v>768</v>
      </c>
      <c r="C59" t="s">
        <v>150</v>
      </c>
      <c r="D59" t="s">
        <v>167</v>
      </c>
      <c r="E59" t="s">
        <v>388</v>
      </c>
      <c r="F59" t="s">
        <v>875</v>
      </c>
      <c r="G59" t="s">
        <v>731</v>
      </c>
    </row>
    <row r="60">
      <c r="A60" t="s">
        <v>832</v>
      </c>
      <c r="B60" t="s">
        <v>768</v>
      </c>
      <c r="C60" t="s">
        <v>227</v>
      </c>
      <c r="D60" t="s">
        <v>464</v>
      </c>
      <c r="E60" t="s">
        <v>876</v>
      </c>
      <c r="F60" t="s">
        <v>877</v>
      </c>
      <c r="G60" t="s">
        <v>731</v>
      </c>
    </row>
    <row r="61">
      <c r="A61" t="s">
        <v>832</v>
      </c>
      <c r="B61" t="s">
        <v>768</v>
      </c>
      <c r="C61" t="s">
        <v>155</v>
      </c>
      <c r="D61" t="s">
        <v>175</v>
      </c>
      <c r="E61" t="s">
        <v>221</v>
      </c>
      <c r="F61" t="s">
        <v>878</v>
      </c>
      <c r="G61" t="s">
        <v>731</v>
      </c>
    </row>
    <row r="62">
      <c r="A62" t="s">
        <v>832</v>
      </c>
      <c r="B62" t="s">
        <v>768</v>
      </c>
      <c r="C62" t="s">
        <v>335</v>
      </c>
      <c r="D62" t="s">
        <v>601</v>
      </c>
      <c r="E62" t="s">
        <v>879</v>
      </c>
      <c r="F62" t="s">
        <v>880</v>
      </c>
      <c r="G62" t="s">
        <v>731</v>
      </c>
    </row>
    <row r="63">
      <c r="A63" t="s">
        <v>832</v>
      </c>
      <c r="B63" t="s">
        <v>768</v>
      </c>
      <c r="C63" t="s">
        <v>229</v>
      </c>
      <c r="D63" t="s">
        <v>70</v>
      </c>
      <c r="E63" t="s">
        <v>881</v>
      </c>
      <c r="F63" t="s">
        <v>882</v>
      </c>
      <c r="G63" t="s">
        <v>378</v>
      </c>
    </row>
    <row r="64">
      <c r="A64" t="s">
        <v>832</v>
      </c>
      <c r="B64" t="s">
        <v>768</v>
      </c>
      <c r="C64" t="s">
        <v>162</v>
      </c>
      <c r="D64" t="s">
        <v>163</v>
      </c>
      <c r="E64" t="s">
        <v>172</v>
      </c>
      <c r="F64" t="s">
        <v>883</v>
      </c>
      <c r="G64" t="s">
        <v>325</v>
      </c>
    </row>
    <row r="65">
      <c r="A65" t="s">
        <v>884</v>
      </c>
      <c r="B65" t="s">
        <v>768</v>
      </c>
      <c r="C65" t="s">
        <v>370</v>
      </c>
      <c r="D65" t="s">
        <v>86</v>
      </c>
      <c r="E65" t="s">
        <v>885</v>
      </c>
      <c r="F65" t="s">
        <v>886</v>
      </c>
      <c r="G65" t="s">
        <v>325</v>
      </c>
    </row>
    <row r="66">
      <c r="A66" t="s">
        <v>884</v>
      </c>
      <c r="B66" t="s">
        <v>768</v>
      </c>
      <c r="C66" t="s">
        <v>567</v>
      </c>
      <c r="D66" t="s">
        <v>507</v>
      </c>
      <c r="E66" t="s">
        <v>887</v>
      </c>
      <c r="F66" t="s">
        <v>888</v>
      </c>
      <c r="G66" t="s">
        <v>872</v>
      </c>
    </row>
    <row r="67">
      <c r="A67" t="s">
        <v>884</v>
      </c>
      <c r="B67" t="s">
        <v>768</v>
      </c>
      <c r="C67" t="s">
        <v>150</v>
      </c>
      <c r="D67" t="s">
        <v>167</v>
      </c>
      <c r="E67" t="s">
        <v>889</v>
      </c>
      <c r="F67" t="s">
        <v>207</v>
      </c>
      <c r="G67" t="s">
        <v>325</v>
      </c>
    </row>
    <row r="68">
      <c r="A68" t="s">
        <v>884</v>
      </c>
      <c r="B68" t="s">
        <v>768</v>
      </c>
      <c r="C68" t="s">
        <v>227</v>
      </c>
      <c r="D68" t="s">
        <v>464</v>
      </c>
      <c r="E68" t="s">
        <v>890</v>
      </c>
      <c r="F68" t="s">
        <v>891</v>
      </c>
      <c r="G68" t="s">
        <v>731</v>
      </c>
    </row>
    <row r="69">
      <c r="A69" t="s">
        <v>884</v>
      </c>
      <c r="B69" t="s">
        <v>768</v>
      </c>
      <c r="C69" t="s">
        <v>155</v>
      </c>
      <c r="D69" t="s">
        <v>175</v>
      </c>
      <c r="E69" t="s">
        <v>892</v>
      </c>
      <c r="F69" t="s">
        <v>893</v>
      </c>
      <c r="G69" t="s">
        <v>731</v>
      </c>
    </row>
    <row r="70">
      <c r="A70" t="s">
        <v>884</v>
      </c>
      <c r="B70" t="s">
        <v>768</v>
      </c>
      <c r="C70" t="s">
        <v>335</v>
      </c>
      <c r="D70" t="s">
        <v>601</v>
      </c>
      <c r="E70" t="s">
        <v>894</v>
      </c>
      <c r="F70" t="s">
        <v>895</v>
      </c>
      <c r="G70" t="s">
        <v>896</v>
      </c>
    </row>
    <row r="71">
      <c r="A71" t="s">
        <v>884</v>
      </c>
      <c r="B71" t="s">
        <v>768</v>
      </c>
      <c r="C71" t="s">
        <v>229</v>
      </c>
      <c r="D71" t="s">
        <v>70</v>
      </c>
      <c r="E71" t="s">
        <v>592</v>
      </c>
      <c r="F71" t="s">
        <v>441</v>
      </c>
      <c r="G71" t="s">
        <v>731</v>
      </c>
    </row>
    <row r="72">
      <c r="A72" t="s">
        <v>884</v>
      </c>
      <c r="B72" t="s">
        <v>768</v>
      </c>
      <c r="C72" t="s">
        <v>162</v>
      </c>
      <c r="D72" t="s">
        <v>163</v>
      </c>
      <c r="E72" t="s">
        <v>897</v>
      </c>
      <c r="F72" t="s">
        <v>581</v>
      </c>
      <c r="G72" t="s">
        <v>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52.71" hidden="0" customWidth="1"/>
    <col min="2" max="2" width="37.71" hidden="0" customWidth="1"/>
    <col min="3" max="3" width="11.71" hidden="0" customWidth="1"/>
    <col min="4" max="4" width="39.71" hidden="0" customWidth="1"/>
    <col min="5" max="5" width="11.71" hidden="0" customWidth="1"/>
  </cols>
  <sheetData>
    <row r="1">
      <c r="A1" s="1" t="s">
        <v>898</v>
      </c>
      <c r="B1" s="1" t="s">
        <v>899</v>
      </c>
      <c r="C1" s="1" t="s">
        <v>1</v>
      </c>
      <c r="D1" s="1" t="s">
        <v>900</v>
      </c>
      <c r="E1" s="1" t="s">
        <v>134</v>
      </c>
    </row>
    <row r="2">
      <c r="A2" t="s">
        <v>901</v>
      </c>
      <c r="B2" t="s">
        <v>768</v>
      </c>
      <c r="C2" t="s">
        <v>902</v>
      </c>
      <c r="D2" t="s">
        <v>903</v>
      </c>
      <c r="E2" t="s">
        <v>838</v>
      </c>
    </row>
    <row r="3">
      <c r="A3" t="s">
        <v>904</v>
      </c>
      <c r="B3" t="s">
        <v>768</v>
      </c>
      <c r="C3" t="s">
        <v>905</v>
      </c>
      <c r="D3" t="s">
        <v>906</v>
      </c>
      <c r="E3" t="s">
        <v>907</v>
      </c>
    </row>
    <row r="4">
      <c r="A4" t="s">
        <v>908</v>
      </c>
      <c r="B4" t="s">
        <v>768</v>
      </c>
      <c r="C4" t="s">
        <v>909</v>
      </c>
      <c r="D4" t="s">
        <v>903</v>
      </c>
      <c r="E4" t="s">
        <v>910</v>
      </c>
    </row>
    <row r="5">
      <c r="A5" t="s">
        <v>911</v>
      </c>
      <c r="B5" t="s">
        <v>768</v>
      </c>
      <c r="C5" t="s">
        <v>86</v>
      </c>
      <c r="D5" t="s">
        <v>903</v>
      </c>
      <c r="E5" t="s">
        <v>912</v>
      </c>
    </row>
    <row r="6">
      <c r="A6" t="s">
        <v>913</v>
      </c>
      <c r="B6" t="s">
        <v>768</v>
      </c>
      <c r="C6" t="s">
        <v>914</v>
      </c>
      <c r="D6" t="s">
        <v>915</v>
      </c>
      <c r="E6" t="s">
        <v>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6.71" hidden="0" customWidth="1"/>
    <col min="3" max="3" width="23.71" hidden="0" customWidth="1"/>
    <col min="4" max="4" width="36.71" hidden="0" customWidth="1"/>
    <col min="5" max="5" width="23.71" hidden="0" customWidth="1"/>
  </cols>
  <sheetData>
    <row r="1">
      <c r="A1" s="1" t="s">
        <v>367</v>
      </c>
      <c r="B1" s="1" t="s">
        <v>916</v>
      </c>
      <c r="C1" s="1" t="s">
        <v>917</v>
      </c>
      <c r="D1" s="1" t="s">
        <v>918</v>
      </c>
      <c r="E1" s="1" t="s">
        <v>919</v>
      </c>
    </row>
    <row r="2">
      <c r="A2" t="s">
        <v>370</v>
      </c>
      <c r="B2" t="s">
        <v>582</v>
      </c>
      <c r="C2" t="s">
        <v>920</v>
      </c>
      <c r="D2" t="s">
        <v>731</v>
      </c>
      <c r="E2" t="s">
        <v>921</v>
      </c>
    </row>
    <row r="3">
      <c r="A3" t="s">
        <v>352</v>
      </c>
      <c r="B3" t="s">
        <v>564</v>
      </c>
      <c r="C3" t="s">
        <v>922</v>
      </c>
      <c r="D3" t="s">
        <v>923</v>
      </c>
      <c r="E3" t="s">
        <v>924</v>
      </c>
    </row>
    <row r="4">
      <c r="A4" t="s">
        <v>925</v>
      </c>
      <c r="B4" t="s">
        <v>292</v>
      </c>
      <c r="C4" t="s">
        <v>926</v>
      </c>
      <c r="D4" t="s">
        <v>927</v>
      </c>
      <c r="E4" t="s">
        <v>924</v>
      </c>
    </row>
    <row r="5">
      <c r="A5" t="s">
        <v>227</v>
      </c>
      <c r="B5" t="s">
        <v>559</v>
      </c>
      <c r="C5" t="s">
        <v>928</v>
      </c>
      <c r="D5" t="s">
        <v>929</v>
      </c>
      <c r="E5" t="s">
        <v>924</v>
      </c>
    </row>
    <row r="6">
      <c r="A6" t="s">
        <v>930</v>
      </c>
      <c r="B6" t="s">
        <v>549</v>
      </c>
      <c r="C6" t="s">
        <v>931</v>
      </c>
      <c r="D6" t="s">
        <v>932</v>
      </c>
      <c r="E6" t="s">
        <v>924</v>
      </c>
    </row>
    <row r="7">
      <c r="A7" t="s">
        <v>933</v>
      </c>
      <c r="B7" t="s">
        <v>934</v>
      </c>
      <c r="C7" t="s">
        <v>935</v>
      </c>
      <c r="D7" t="s">
        <v>895</v>
      </c>
      <c r="E7" t="s">
        <v>936</v>
      </c>
    </row>
    <row r="8">
      <c r="A8" t="s">
        <v>359</v>
      </c>
      <c r="B8" t="s">
        <v>564</v>
      </c>
      <c r="C8" t="s">
        <v>937</v>
      </c>
      <c r="D8" t="s">
        <v>938</v>
      </c>
      <c r="E8" t="s">
        <v>936</v>
      </c>
    </row>
    <row r="9">
      <c r="A9" t="s">
        <v>939</v>
      </c>
      <c r="B9" t="s">
        <v>934</v>
      </c>
      <c r="C9" t="s">
        <v>940</v>
      </c>
      <c r="D9" t="s">
        <v>941</v>
      </c>
      <c r="E9" t="s">
        <v>936</v>
      </c>
    </row>
    <row r="10">
      <c r="A10" t="s">
        <v>942</v>
      </c>
      <c r="B10" t="s">
        <v>230</v>
      </c>
      <c r="C10" t="s">
        <v>943</v>
      </c>
      <c r="D10" t="s">
        <v>944</v>
      </c>
      <c r="E10" t="s">
        <v>936</v>
      </c>
    </row>
    <row r="11">
      <c r="A11" t="s">
        <v>945</v>
      </c>
      <c r="B11" t="s">
        <v>934</v>
      </c>
      <c r="C11" t="s">
        <v>946</v>
      </c>
      <c r="D11" t="s">
        <v>947</v>
      </c>
      <c r="E11" t="s">
        <v>936</v>
      </c>
    </row>
    <row r="12">
      <c r="A12" t="s">
        <v>948</v>
      </c>
      <c r="B12" t="s">
        <v>934</v>
      </c>
      <c r="C12" t="s">
        <v>949</v>
      </c>
      <c r="D12" t="s">
        <v>950</v>
      </c>
      <c r="E12" t="s">
        <v>936</v>
      </c>
    </row>
    <row r="13">
      <c r="A13" t="s">
        <v>150</v>
      </c>
      <c r="B13" t="s">
        <v>553</v>
      </c>
      <c r="C13" t="s">
        <v>949</v>
      </c>
      <c r="D13" t="s">
        <v>951</v>
      </c>
      <c r="E13" t="s">
        <v>936</v>
      </c>
    </row>
    <row r="14">
      <c r="A14" t="s">
        <v>952</v>
      </c>
      <c r="B14" t="s">
        <v>934</v>
      </c>
      <c r="C14" t="s">
        <v>953</v>
      </c>
      <c r="D14" t="s">
        <v>74</v>
      </c>
      <c r="E14" t="s">
        <v>936</v>
      </c>
    </row>
    <row r="15">
      <c r="A15" t="s">
        <v>954</v>
      </c>
      <c r="B15" t="s">
        <v>934</v>
      </c>
      <c r="C15" t="s">
        <v>955</v>
      </c>
      <c r="D15" t="s">
        <v>956</v>
      </c>
      <c r="E15" t="s">
        <v>936</v>
      </c>
    </row>
    <row r="16">
      <c r="A16" t="s">
        <v>229</v>
      </c>
      <c r="B16" t="s">
        <v>549</v>
      </c>
      <c r="C16" t="s">
        <v>955</v>
      </c>
      <c r="D16" t="s">
        <v>957</v>
      </c>
      <c r="E16" t="s">
        <v>936</v>
      </c>
    </row>
    <row r="17">
      <c r="A17" t="s">
        <v>344</v>
      </c>
      <c r="B17" t="s">
        <v>958</v>
      </c>
      <c r="C17" t="s">
        <v>959</v>
      </c>
      <c r="D17" t="s">
        <v>960</v>
      </c>
      <c r="E17" t="s">
        <v>936</v>
      </c>
    </row>
    <row r="18">
      <c r="A18" t="s">
        <v>335</v>
      </c>
      <c r="B18" t="s">
        <v>564</v>
      </c>
      <c r="C18" t="s">
        <v>959</v>
      </c>
      <c r="D18" t="s">
        <v>886</v>
      </c>
      <c r="E18" t="s">
        <v>936</v>
      </c>
    </row>
    <row r="19">
      <c r="A19" t="s">
        <v>961</v>
      </c>
      <c r="B19" t="s">
        <v>220</v>
      </c>
      <c r="C19" t="s">
        <v>962</v>
      </c>
      <c r="D19" t="s">
        <v>963</v>
      </c>
      <c r="E19" t="s">
        <v>936</v>
      </c>
    </row>
    <row r="20">
      <c r="A20" t="s">
        <v>964</v>
      </c>
      <c r="B20" t="s">
        <v>934</v>
      </c>
      <c r="C20" t="s">
        <v>965</v>
      </c>
      <c r="D20" t="s">
        <v>966</v>
      </c>
      <c r="E20" t="s">
        <v>936</v>
      </c>
    </row>
    <row r="21">
      <c r="A21" t="s">
        <v>162</v>
      </c>
      <c r="B21" t="s">
        <v>555</v>
      </c>
      <c r="C21" t="s">
        <v>967</v>
      </c>
      <c r="D21" t="s">
        <v>581</v>
      </c>
      <c r="E21" t="s">
        <v>936</v>
      </c>
    </row>
    <row r="22">
      <c r="A22" t="s">
        <v>968</v>
      </c>
      <c r="B22" t="s">
        <v>934</v>
      </c>
      <c r="C22" t="s">
        <v>969</v>
      </c>
      <c r="D22" t="s">
        <v>581</v>
      </c>
      <c r="E22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25.71" hidden="0" customWidth="1"/>
    <col min="3" max="3" width="21.71" hidden="0" customWidth="1"/>
    <col min="4" max="4" width="26.71" hidden="0" customWidth="1"/>
    <col min="5" max="5" width="37.71" hidden="0" customWidth="1"/>
  </cols>
  <sheetData>
    <row r="1">
      <c r="A1" s="1" t="s">
        <v>367</v>
      </c>
      <c r="B1" s="1" t="s">
        <v>970</v>
      </c>
      <c r="C1" s="1" t="s">
        <v>971</v>
      </c>
      <c r="D1" s="1" t="s">
        <v>972</v>
      </c>
      <c r="E1" s="1" t="s">
        <v>973</v>
      </c>
    </row>
    <row r="2">
      <c r="A2" t="s">
        <v>150</v>
      </c>
      <c r="B2" t="s">
        <v>974</v>
      </c>
      <c r="C2" t="s">
        <v>975</v>
      </c>
      <c r="D2" t="s">
        <v>976</v>
      </c>
      <c r="E2" t="s">
        <v>977</v>
      </c>
    </row>
    <row r="3">
      <c r="A3" t="s">
        <v>227</v>
      </c>
      <c r="B3" t="s">
        <v>978</v>
      </c>
      <c r="C3" t="s">
        <v>979</v>
      </c>
      <c r="D3" t="s">
        <v>980</v>
      </c>
      <c r="E3" t="s">
        <v>981</v>
      </c>
    </row>
    <row r="4">
      <c r="A4" t="s">
        <v>359</v>
      </c>
      <c r="B4" t="s">
        <v>982</v>
      </c>
      <c r="C4" t="s">
        <v>983</v>
      </c>
      <c r="D4" t="s">
        <v>984</v>
      </c>
      <c r="E4" t="s">
        <v>981</v>
      </c>
    </row>
    <row r="5">
      <c r="A5" t="s">
        <v>335</v>
      </c>
      <c r="B5" t="s">
        <v>985</v>
      </c>
      <c r="C5" t="s">
        <v>986</v>
      </c>
      <c r="D5" t="s">
        <v>987</v>
      </c>
      <c r="E5" t="s">
        <v>988</v>
      </c>
    </row>
    <row r="6">
      <c r="A6" t="s">
        <v>229</v>
      </c>
      <c r="B6" t="s">
        <v>989</v>
      </c>
      <c r="C6" t="s">
        <v>990</v>
      </c>
      <c r="D6" t="s">
        <v>991</v>
      </c>
      <c r="E6" t="s">
        <v>977</v>
      </c>
    </row>
    <row r="7">
      <c r="A7" t="s">
        <v>352</v>
      </c>
      <c r="B7" t="s">
        <v>992</v>
      </c>
      <c r="C7" t="s">
        <v>993</v>
      </c>
      <c r="D7" t="s">
        <v>210</v>
      </c>
      <c r="E7" t="s">
        <v>988</v>
      </c>
    </row>
    <row r="8">
      <c r="A8" t="s">
        <v>344</v>
      </c>
      <c r="B8" t="s">
        <v>994</v>
      </c>
      <c r="C8" t="s">
        <v>995</v>
      </c>
      <c r="D8" t="s">
        <v>996</v>
      </c>
      <c r="E8" t="s">
        <v>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4.71" hidden="0" customWidth="1"/>
    <col min="2" max="2" width="11.71" hidden="0" customWidth="1"/>
    <col min="3" max="3" width="23.71" hidden="0" customWidth="1"/>
    <col min="4" max="4" width="11.71" hidden="0" customWidth="1"/>
  </cols>
  <sheetData>
    <row r="1">
      <c r="A1" s="1" t="s">
        <v>131</v>
      </c>
      <c r="B1" s="1" t="s">
        <v>1</v>
      </c>
      <c r="C1" s="1" t="s">
        <v>997</v>
      </c>
      <c r="D1" s="1" t="s">
        <v>134</v>
      </c>
    </row>
    <row r="2">
      <c r="A2" t="s">
        <v>998</v>
      </c>
      <c r="B2" t="s">
        <v>485</v>
      </c>
      <c r="C2" t="s">
        <v>999</v>
      </c>
      <c r="D2" t="s">
        <v>941</v>
      </c>
    </row>
    <row r="3">
      <c r="A3" t="s">
        <v>1000</v>
      </c>
      <c r="B3" t="s">
        <v>485</v>
      </c>
      <c r="C3" t="s">
        <v>1001</v>
      </c>
      <c r="D3" t="s">
        <v>1002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4.71" hidden="0" customWidth="1"/>
    <col min="2" max="2" width="11.71" hidden="0" customWidth="1"/>
    <col min="3" max="3" width="23.71" hidden="0" customWidth="1"/>
    <col min="4" max="4" width="11.71" hidden="0" customWidth="1"/>
  </cols>
  <sheetData>
    <row r="1">
      <c r="A1" s="1" t="s">
        <v>131</v>
      </c>
      <c r="B1" s="1" t="s">
        <v>1</v>
      </c>
      <c r="C1" s="1" t="s">
        <v>997</v>
      </c>
      <c r="D1" s="1" t="s">
        <v>134</v>
      </c>
    </row>
    <row r="2">
      <c r="A2" t="s">
        <v>998</v>
      </c>
      <c r="B2" t="s">
        <v>485</v>
      </c>
      <c r="C2" t="s">
        <v>1003</v>
      </c>
      <c r="D2" t="s">
        <v>1004</v>
      </c>
    </row>
    <row r="3">
      <c r="A3" t="s">
        <v>1000</v>
      </c>
      <c r="B3" t="s">
        <v>485</v>
      </c>
      <c r="C3" t="s">
        <v>1005</v>
      </c>
      <c r="D3" t="s">
        <v>1006</v>
      </c>
    </row>
    <row r="4">
      <c r="A4" t="s">
        <v>1007</v>
      </c>
      <c r="B4" t="s">
        <v>485</v>
      </c>
      <c r="C4" t="s">
        <v>1008</v>
      </c>
      <c r="D4" t="s">
        <v>339</v>
      </c>
    </row>
    <row r="5">
      <c r="A5" t="s">
        <v>1009</v>
      </c>
      <c r="B5" t="s">
        <v>485</v>
      </c>
      <c r="C5" t="s">
        <v>1010</v>
      </c>
      <c r="D5" t="s">
        <v>373</v>
      </c>
    </row>
    <row r="6">
      <c r="A6" t="s">
        <v>1011</v>
      </c>
      <c r="B6" t="s">
        <v>485</v>
      </c>
      <c r="C6" t="s">
        <v>1012</v>
      </c>
      <c r="D6" t="s">
        <v>1013</v>
      </c>
    </row>
    <row r="7">
      <c r="A7" t="s">
        <v>1014</v>
      </c>
      <c r="B7" t="s">
        <v>485</v>
      </c>
      <c r="C7" t="s">
        <v>1015</v>
      </c>
      <c r="D7" t="s">
        <v>692</v>
      </c>
    </row>
    <row r="8">
      <c r="A8" t="s">
        <v>1016</v>
      </c>
      <c r="B8" t="s">
        <v>485</v>
      </c>
      <c r="C8" t="s">
        <v>1017</v>
      </c>
      <c r="D8" t="s">
        <v>1018</v>
      </c>
    </row>
    <row r="9">
      <c r="A9" t="s">
        <v>1019</v>
      </c>
      <c r="B9" t="s">
        <v>485</v>
      </c>
      <c r="C9" t="s">
        <v>1020</v>
      </c>
      <c r="D9" t="s">
        <v>1021</v>
      </c>
    </row>
    <row r="10">
      <c r="A10" t="s">
        <v>1022</v>
      </c>
      <c r="B10" t="s">
        <v>485</v>
      </c>
      <c r="C10" t="s">
        <v>1023</v>
      </c>
      <c r="D10" t="s">
        <v>1024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9.71" hidden="0" customWidth="1"/>
    <col min="2" max="2" width="11.71" hidden="0" customWidth="1"/>
    <col min="3" max="3" width="23.71" hidden="0" customWidth="1"/>
    <col min="4" max="4" width="11.71" hidden="0" customWidth="1"/>
  </cols>
  <sheetData>
    <row r="1">
      <c r="A1" s="1" t="s">
        <v>131</v>
      </c>
      <c r="B1" s="1" t="s">
        <v>1</v>
      </c>
      <c r="C1" s="1" t="s">
        <v>997</v>
      </c>
      <c r="D1" s="1" t="s">
        <v>134</v>
      </c>
    </row>
    <row r="2">
      <c r="A2" t="s">
        <v>1025</v>
      </c>
      <c r="B2" t="s">
        <v>674</v>
      </c>
      <c r="C2" t="s">
        <v>1026</v>
      </c>
      <c r="D2" t="s">
        <v>728</v>
      </c>
    </row>
    <row r="3">
      <c r="A3" t="s">
        <v>1027</v>
      </c>
      <c r="B3" t="s">
        <v>674</v>
      </c>
      <c r="C3" t="s">
        <v>1028</v>
      </c>
      <c r="D3" t="s">
        <v>1029</v>
      </c>
    </row>
    <row r="4">
      <c r="A4" t="s">
        <v>1007</v>
      </c>
      <c r="B4" t="s">
        <v>674</v>
      </c>
      <c r="C4" t="s">
        <v>1030</v>
      </c>
      <c r="D4" t="s">
        <v>1031</v>
      </c>
    </row>
    <row r="5">
      <c r="A5" t="s">
        <v>1009</v>
      </c>
      <c r="B5" t="s">
        <v>674</v>
      </c>
      <c r="C5" t="s">
        <v>1032</v>
      </c>
      <c r="D5" t="s">
        <v>438</v>
      </c>
    </row>
    <row r="6">
      <c r="A6" t="s">
        <v>1011</v>
      </c>
      <c r="B6" t="s">
        <v>674</v>
      </c>
      <c r="C6" t="s">
        <v>1033</v>
      </c>
      <c r="D6" t="s">
        <v>1034</v>
      </c>
    </row>
    <row r="7">
      <c r="A7" t="s">
        <v>1014</v>
      </c>
      <c r="B7" t="s">
        <v>674</v>
      </c>
      <c r="C7" t="s">
        <v>1035</v>
      </c>
      <c r="D7" t="s">
        <v>1036</v>
      </c>
    </row>
    <row r="8">
      <c r="A8" t="s">
        <v>1016</v>
      </c>
      <c r="B8" t="s">
        <v>674</v>
      </c>
      <c r="C8" t="s">
        <v>1037</v>
      </c>
      <c r="D8" t="s">
        <v>847</v>
      </c>
    </row>
    <row r="9">
      <c r="A9" t="s">
        <v>1019</v>
      </c>
      <c r="B9" t="s">
        <v>674</v>
      </c>
      <c r="C9" t="s">
        <v>1038</v>
      </c>
      <c r="D9" t="s">
        <v>1039</v>
      </c>
    </row>
    <row r="10">
      <c r="A10" t="s">
        <v>1022</v>
      </c>
      <c r="B10" t="s">
        <v>674</v>
      </c>
      <c r="C10" t="s">
        <v>1040</v>
      </c>
      <c r="D10" t="s">
        <v>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9.71" hidden="0" customWidth="1"/>
    <col min="2" max="2" width="11.71" hidden="0" customWidth="1"/>
    <col min="3" max="3" width="24.71" hidden="0" customWidth="1"/>
    <col min="4" max="4" width="11.71" hidden="0" customWidth="1"/>
  </cols>
  <sheetData>
    <row r="1">
      <c r="A1" s="1" t="s">
        <v>131</v>
      </c>
      <c r="B1" s="1" t="s">
        <v>1</v>
      </c>
      <c r="C1" s="1" t="s">
        <v>997</v>
      </c>
      <c r="D1" s="1" t="s">
        <v>134</v>
      </c>
    </row>
    <row r="2">
      <c r="A2" t="s">
        <v>1041</v>
      </c>
      <c r="B2" t="s">
        <v>863</v>
      </c>
      <c r="C2" t="s">
        <v>1042</v>
      </c>
      <c r="D2" t="s">
        <v>463</v>
      </c>
    </row>
    <row r="3">
      <c r="A3" t="s">
        <v>1043</v>
      </c>
      <c r="B3" t="s">
        <v>863</v>
      </c>
      <c r="C3" t="s">
        <v>1044</v>
      </c>
      <c r="D3" t="s">
        <v>1045</v>
      </c>
    </row>
    <row r="4">
      <c r="A4" t="s">
        <v>1007</v>
      </c>
      <c r="B4" t="s">
        <v>863</v>
      </c>
      <c r="C4" t="s">
        <v>1046</v>
      </c>
      <c r="D4" t="s">
        <v>1047</v>
      </c>
    </row>
    <row r="5">
      <c r="A5" t="s">
        <v>1009</v>
      </c>
      <c r="B5" t="s">
        <v>863</v>
      </c>
      <c r="C5" t="s">
        <v>1048</v>
      </c>
      <c r="D5" t="s">
        <v>1049</v>
      </c>
    </row>
    <row r="6">
      <c r="A6" t="s">
        <v>1011</v>
      </c>
      <c r="B6" t="s">
        <v>863</v>
      </c>
      <c r="C6" t="s">
        <v>1050</v>
      </c>
      <c r="D6" t="s">
        <v>1051</v>
      </c>
    </row>
    <row r="7">
      <c r="A7" t="s">
        <v>1014</v>
      </c>
      <c r="B7" t="s">
        <v>863</v>
      </c>
      <c r="C7" t="s">
        <v>1052</v>
      </c>
      <c r="D7" t="s">
        <v>873</v>
      </c>
    </row>
    <row r="8">
      <c r="A8" t="s">
        <v>1016</v>
      </c>
      <c r="B8" t="s">
        <v>863</v>
      </c>
      <c r="C8" t="s">
        <v>1053</v>
      </c>
      <c r="D8" t="s">
        <v>1054</v>
      </c>
    </row>
    <row r="9">
      <c r="A9" t="s">
        <v>1019</v>
      </c>
      <c r="B9" t="s">
        <v>863</v>
      </c>
      <c r="C9" t="s">
        <v>1055</v>
      </c>
      <c r="D9" t="s">
        <v>1056</v>
      </c>
    </row>
    <row r="10">
      <c r="A10" t="s">
        <v>1022</v>
      </c>
      <c r="B10" t="s">
        <v>863</v>
      </c>
      <c r="C10" t="s">
        <v>1057</v>
      </c>
      <c r="D10" t="s">
        <v>1058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1.71" hidden="0" customWidth="1"/>
    <col min="3" max="3" width="25.71" hidden="0" customWidth="1"/>
    <col min="4" max="4" width="11.71" hidden="0" customWidth="1"/>
    <col min="5" max="5" width="18.71" hidden="0" customWidth="1"/>
    <col min="6" max="6" width="11.71" hidden="0" customWidth="1"/>
  </cols>
  <sheetData>
    <row r="1">
      <c r="A1" s="1" t="s">
        <v>1059</v>
      </c>
      <c r="B1" s="1" t="s">
        <v>1</v>
      </c>
      <c r="C1" s="1" t="s">
        <v>997</v>
      </c>
      <c r="D1" s="1" t="s">
        <v>134</v>
      </c>
      <c r="E1" s="1" t="s">
        <v>1060</v>
      </c>
      <c r="F1" s="1" t="s">
        <v>161</v>
      </c>
    </row>
    <row r="2">
      <c r="A2" t="s">
        <v>335</v>
      </c>
      <c r="B2" t="s">
        <v>601</v>
      </c>
      <c r="C2" t="s">
        <v>1061</v>
      </c>
      <c r="D2" t="s">
        <v>1062</v>
      </c>
      <c r="E2" t="s">
        <v>1056</v>
      </c>
      <c r="F2" t="s">
        <v>166</v>
      </c>
    </row>
    <row r="3">
      <c r="A3" t="s">
        <v>344</v>
      </c>
      <c r="B3" t="s">
        <v>1063</v>
      </c>
      <c r="C3" t="s">
        <v>1064</v>
      </c>
      <c r="D3" t="s">
        <v>166</v>
      </c>
      <c r="E3" t="s">
        <v>1065</v>
      </c>
      <c r="F3" t="s">
        <v>166</v>
      </c>
    </row>
    <row r="4">
      <c r="A4" t="s">
        <v>352</v>
      </c>
      <c r="B4" t="s">
        <v>601</v>
      </c>
      <c r="C4" t="s">
        <v>1066</v>
      </c>
      <c r="D4" t="s">
        <v>1067</v>
      </c>
      <c r="E4" t="s">
        <v>1068</v>
      </c>
      <c r="F4" t="s">
        <v>441</v>
      </c>
    </row>
    <row r="5">
      <c r="A5" t="s">
        <v>359</v>
      </c>
      <c r="B5" t="s">
        <v>601</v>
      </c>
      <c r="C5" t="s">
        <v>1069</v>
      </c>
      <c r="D5" t="s">
        <v>1070</v>
      </c>
      <c r="E5" t="s">
        <v>1071</v>
      </c>
      <c r="F5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39.71" hidden="0" customWidth="1"/>
  </cols>
  <sheetData>
    <row r="1">
      <c r="A1" s="1" t="s">
        <v>1059</v>
      </c>
      <c r="B1" s="1" t="s">
        <v>1</v>
      </c>
      <c r="C1" s="1" t="s">
        <v>1072</v>
      </c>
      <c r="D1" s="1" t="s">
        <v>132</v>
      </c>
      <c r="E1" s="1" t="s">
        <v>133</v>
      </c>
      <c r="F1" s="1" t="s">
        <v>134</v>
      </c>
      <c r="G1" s="1" t="s">
        <v>1073</v>
      </c>
    </row>
    <row r="2">
      <c r="A2" t="s">
        <v>94</v>
      </c>
      <c r="B2" t="s">
        <v>175</v>
      </c>
      <c r="C2" t="s">
        <v>1074</v>
      </c>
      <c r="D2" t="s">
        <v>1075</v>
      </c>
      <c r="E2" t="s">
        <v>1076</v>
      </c>
      <c r="F2" t="s">
        <v>140</v>
      </c>
      <c r="G2" t="s">
        <v>1077</v>
      </c>
    </row>
    <row r="3">
      <c r="A3" t="s">
        <v>150</v>
      </c>
      <c r="B3" t="s">
        <v>175</v>
      </c>
      <c r="C3" t="s">
        <v>1074</v>
      </c>
      <c r="D3" t="s">
        <v>1078</v>
      </c>
      <c r="E3" t="s">
        <v>1079</v>
      </c>
      <c r="F3" t="s">
        <v>785</v>
      </c>
      <c r="G3" t="s">
        <v>1077</v>
      </c>
    </row>
    <row r="4">
      <c r="A4" t="s">
        <v>1080</v>
      </c>
      <c r="B4" t="s">
        <v>175</v>
      </c>
      <c r="C4" t="s">
        <v>1074</v>
      </c>
      <c r="D4" t="s">
        <v>1081</v>
      </c>
      <c r="E4" t="s">
        <v>1082</v>
      </c>
      <c r="F4" t="s">
        <v>1083</v>
      </c>
      <c r="G4" t="s">
        <v>1084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41.71" hidden="0" customWidth="1"/>
    <col min="2" max="2" width="11.71" hidden="0" customWidth="1"/>
    <col min="3" max="3" width="18.71" hidden="0" customWidth="1"/>
    <col min="4" max="4" width="60.71" hidden="0" customWidth="1"/>
  </cols>
  <sheetData>
    <row r="1">
      <c r="A1" s="1" t="s">
        <v>1085</v>
      </c>
      <c r="B1" s="1" t="s">
        <v>1086</v>
      </c>
      <c r="C1" s="1" t="s">
        <v>133</v>
      </c>
      <c r="D1" s="1" t="s">
        <v>1073</v>
      </c>
    </row>
    <row r="2">
      <c r="A2" t="s">
        <v>1087</v>
      </c>
      <c r="B2" t="s">
        <v>452</v>
      </c>
      <c r="C2" t="s">
        <v>41</v>
      </c>
      <c r="D2" t="s">
        <v>1088</v>
      </c>
    </row>
    <row r="3">
      <c r="A3" t="s">
        <v>1089</v>
      </c>
      <c r="B3" t="s">
        <v>523</v>
      </c>
      <c r="C3" t="s">
        <v>1090</v>
      </c>
      <c r="D3" t="s">
        <v>1091</v>
      </c>
    </row>
    <row r="4">
      <c r="A4" t="s">
        <v>1092</v>
      </c>
      <c r="B4" t="s">
        <v>1093</v>
      </c>
      <c r="C4" t="s">
        <v>1094</v>
      </c>
      <c r="D4" t="s">
        <v>1095</v>
      </c>
    </row>
    <row r="5">
      <c r="A5" t="s">
        <v>1096</v>
      </c>
      <c r="B5" t="s">
        <v>1097</v>
      </c>
      <c r="C5" t="s">
        <v>41</v>
      </c>
      <c r="D5" t="s">
        <v>1098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jonahkeller</dc:creator>
  <cp:lastModifiedBy>jonahkeller</cp:lastModifiedBy>
  <dcterms:created xsi:type="dcterms:W3CDTF">2026-06-15T16:26:22Z</dcterms:created>
</coreProperties>
</file>